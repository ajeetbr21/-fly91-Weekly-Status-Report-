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Cost Analysis" sheetId="3" state="visible" r:id="rId3"/>
    <sheet xmlns:r="http://schemas.openxmlformats.org/officeDocument/2006/relationships" name="EC2 Instances" sheetId="4" state="visible" r:id="rId4"/>
    <sheet xmlns:r="http://schemas.openxmlformats.org/officeDocument/2006/relationships" name="Load Balancers" sheetId="5" state="visible" r:id="rId5"/>
    <sheet xmlns:r="http://schemas.openxmlformats.org/officeDocument/2006/relationships" name="WAF" sheetId="6" state="visible" r:id="rId6"/>
    <sheet xmlns:r="http://schemas.openxmlformats.org/officeDocument/2006/relationships" name="Inspector" sheetId="7" state="visible" r:id="rId7"/>
    <sheet xmlns:r="http://schemas.openxmlformats.org/officeDocument/2006/relationships" name="GuardDuty" sheetId="8" state="visible" r:id="rId8"/>
    <sheet xmlns:r="http://schemas.openxmlformats.org/officeDocument/2006/relationships" name="S3 Storage" sheetId="9" state="visible" r:id="rId9"/>
    <sheet xmlns:r="http://schemas.openxmlformats.org/officeDocument/2006/relationships" name="RDS Instances" sheetId="10" state="visible" r:id="rId10"/>
    <sheet xmlns:r="http://schemas.openxmlformats.org/officeDocument/2006/relationships" name="Dashboard" sheetId="11" state="visible" r:id="rId11"/>
  </sheets>
  <definedNames>
    <definedName name="_xlnm._FilterDatabase" localSheetId="2" hidden="1">'Cost Analysis'!$A$4:$F$45</definedName>
    <definedName name="_xlnm._FilterDatabase" localSheetId="3" hidden="1">'EC2 Instances'!$A$4:$H$25</definedName>
    <definedName name="_xlnm._FilterDatabase" localSheetId="4" hidden="1">'Load Balancers'!$A$4:$H$7</definedName>
    <definedName name="_xlnm._FilterDatabase" localSheetId="5" hidden="1">'WAF'!$A$4:$D$8</definedName>
    <definedName name="_xlnm._FilterDatabase" localSheetId="6" hidden="1">'Inspector'!$A$15:$G$35</definedName>
    <definedName name="_xlnm._FilterDatabase" localSheetId="7" hidden="1">'GuardDuty'!$A$13:$I$21</definedName>
    <definedName name="_xlnm._FilterDatabase" localSheetId="8" hidden="1">'S3 Storage'!$A$4:$C$20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FFFFFF"/>
      <sz val="28"/>
    </font>
    <font>
      <name val="Calibri"/>
      <color rgb="00FFFFFF"/>
      <sz val="16"/>
    </font>
    <font>
      <name val="Calibri"/>
      <b val="1"/>
      <color rgb="00002060"/>
      <sz val="12"/>
    </font>
    <font>
      <name val="Calibri"/>
      <color rgb="00002060"/>
      <sz val="12"/>
    </font>
    <font>
      <name val="Calibri"/>
      <b val="1"/>
      <color rgb="00FFFFFF"/>
      <sz val="10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000000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sz val="14"/>
    </font>
  </fonts>
  <fills count="9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2" borderId="2" applyAlignment="1">
      <alignment horizontal="center" vertical="center" wrapText="1"/>
    </xf>
    <xf numFmtId="0" fontId="3" fillId="3" borderId="2" applyAlignment="1">
      <alignment horizontal="left" vertical="center" wrapText="1"/>
    </xf>
    <xf numFmtId="0" fontId="4" fillId="4" borderId="2" applyAlignment="1">
      <alignment horizontal="left" vertical="center" wrapText="1"/>
    </xf>
    <xf numFmtId="0" fontId="4" fillId="4" borderId="2" applyAlignment="1">
      <alignment horizontal="center" vertical="center" wrapText="1"/>
    </xf>
    <xf numFmtId="164" fontId="4" fillId="4" borderId="2" applyAlignment="1">
      <alignment horizontal="right" vertical="center" wrapText="1"/>
    </xf>
    <xf numFmtId="165" fontId="4" fillId="4" borderId="2" applyAlignment="1">
      <alignment horizontal="right" vertical="center" wrapText="1"/>
    </xf>
    <xf numFmtId="3" fontId="4" fillId="4" borderId="2" applyAlignment="1">
      <alignment horizontal="right" vertical="center" wrapText="1"/>
    </xf>
  </cellStyleXfs>
  <cellXfs count="32">
    <xf numFmtId="0" fontId="0" fillId="0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6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right" vertical="center" wrapText="1"/>
    </xf>
    <xf numFmtId="0" fontId="13" fillId="5" borderId="2" applyAlignment="1" pivotButton="0" quotePrefix="0" xfId="0">
      <alignment horizontal="right" vertical="center" wrapText="1"/>
    </xf>
    <xf numFmtId="0" fontId="13" fillId="4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15" fillId="8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right" vertical="center" wrapText="1"/>
    </xf>
    <xf numFmtId="0" fontId="16" fillId="0" borderId="0" pivotButton="0" quotePrefix="0" xfId="0"/>
    <xf numFmtId="0" fontId="12" fillId="0" borderId="0" applyAlignment="1" pivotButton="0" quotePrefix="0" xfId="0">
      <alignment horizontal="left" vertical="center" wrapText="1"/>
    </xf>
  </cellXfs>
  <cellStyles count="9">
    <cellStyle name="Normal" xfId="0" builtinId="0" hidden="0"/>
    <cellStyle name="title_style" xfId="1" hidden="0"/>
    <cellStyle name="header_style" xfId="2" hidden="0"/>
    <cellStyle name="section_style" xfId="3" hidden="0"/>
    <cellStyle name="data_style" xfId="4" hidden="0"/>
    <cellStyle name="data_center_style" xfId="5" hidden="0"/>
    <cellStyle name="currency_style" xfId="6" hidden="0"/>
    <cellStyle name="percent_style" xfId="7" hidden="0"/>
    <cellStyle name="number_style" xfId="8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Cost Trend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solidFill>
                <a:srgbClr val="002060"/>
              </a:solidFill>
              <a:latin typeface="Calibri"/>
            </a:defRPr>
          </a:pPr>
          <a:r>
            <a:t/>
          </a:r>
          <a:endParaRPr sz="1200" b="1">
            <a:solidFill>
              <a:srgbClr val="002060"/>
            </a:solidFill>
            <a:latin typeface="Calibri"/>
          </a:endParaRPr>
        </a:p>
      </txPr>
    </title>
    <plotArea>
      <lineChart>
        <grouping val="standard"/>
        <ser>
          <idx val="0"/>
          <order val="0"/>
          <tx>
            <v>Daily Cost ($)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'Dashboard'!$A$86:$A$92</f>
            </numRef>
          </cat>
          <val>
            <numRef>
              <f>'Dashboard'!$B$86:$B$92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333333"/>
                </a:solidFill>
                <a:latin typeface="Calibri"/>
              </a:defRPr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333333"/>
                </a:solidFill>
                <a:latin typeface="Calibri"/>
              </a:defRPr>
            </a:pPr>
            <a:r>
              <a:t/>
            </a:r>
          </a:p>
        </txPr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Service-wise Cost Distribution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solidFill>
                <a:srgbClr val="002060"/>
              </a:solidFill>
              <a:latin typeface="Calibri"/>
            </a:defRPr>
          </a:pPr>
          <a:r>
            <a:t/>
          </a:r>
          <a:endParaRPr sz="1200" b="1">
            <a:solidFill>
              <a:srgbClr val="002060"/>
            </a:solidFill>
            <a:latin typeface="Calibri"/>
          </a:endParaRPr>
        </a:p>
      </txPr>
    </title>
    <plotArea>
      <pieChart>
        <varyColors val="1"/>
        <ser>
          <idx val="0"/>
          <order val="0"/>
          <tx>
            <strRef>
              <f>'Dashboard'!B94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9B57A0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1"/>
            <showSerName val="0"/>
            <showPercent val="1"/>
          </dLbls>
          <cat>
            <numRef>
              <f>'Dashboard'!$A$95:$A$102</f>
            </numRef>
          </cat>
          <val>
            <numRef>
              <f>'Dashboard'!$B$95:$B$102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EC2 Average CPU Usage (%)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solidFill>
                <a:srgbClr val="002060"/>
              </a:solidFill>
              <a:latin typeface="Calibri"/>
            </a:defRPr>
          </a:pPr>
          <a:r>
            <a:t/>
          </a:r>
          <a:endParaRPr sz="1200" b="1">
            <a:solidFill>
              <a:srgbClr val="002060"/>
            </a:solidFill>
            <a:latin typeface="Calibri"/>
          </a:endParaRPr>
        </a:p>
      </txPr>
    </title>
    <plotArea>
      <barChart>
        <barDir val="col"/>
        <grouping val="clustered"/>
        <ser>
          <idx val="0"/>
          <order val="0"/>
          <tx>
            <v>Avg CPU (%)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'Dashboard'!$A$105:$A$112</f>
            </numRef>
          </cat>
          <val>
            <numRef>
              <f>'Dashboard'!$B$105:$B$112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333333"/>
                </a:solidFill>
                <a:latin typeface="Calibri"/>
              </a:defRPr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333333"/>
                </a:solidFill>
                <a:latin typeface="Calibri"/>
              </a:defRPr>
            </a:pPr>
            <a:r>
              <a:t/>
            </a:r>
          </a:p>
        </txPr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EC2 Disk Usage (%)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solidFill>
                <a:srgbClr val="002060"/>
              </a:solidFill>
              <a:latin typeface="Calibri"/>
            </a:defRPr>
          </a:pPr>
          <a:r>
            <a:t/>
          </a:r>
          <a:endParaRPr sz="1200" b="1">
            <a:solidFill>
              <a:srgbClr val="002060"/>
            </a:solidFill>
            <a:latin typeface="Calibri"/>
          </a:endParaRPr>
        </a:p>
      </txPr>
    </title>
    <plotArea>
      <barChart>
        <barDir val="col"/>
        <grouping val="clustered"/>
        <ser>
          <idx val="0"/>
          <order val="0"/>
          <tx>
            <v>Disk Usage (%)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'Dashboard'!$A$115:$A$121</f>
            </numRef>
          </cat>
          <val>
            <numRef>
              <f>'Dashboard'!$B$115:$B$121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333333"/>
                </a:solidFill>
                <a:latin typeface="Calibri"/>
              </a:defRPr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333333"/>
                </a:solidFill>
                <a:latin typeface="Calibri"/>
              </a:defRPr>
            </a:pPr>
            <a:r>
              <a:t/>
            </a:r>
          </a:p>
        </txPr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EC2 Network Usage (MB)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solidFill>
                <a:srgbClr val="002060"/>
              </a:solidFill>
              <a:latin typeface="Calibri"/>
            </a:defRPr>
          </a:pPr>
          <a:r>
            <a:t/>
          </a:r>
          <a:endParaRPr sz="1200" b="1">
            <a:solidFill>
              <a:srgbClr val="002060"/>
            </a:solidFill>
            <a:latin typeface="Calibri"/>
          </a:endParaRPr>
        </a:p>
      </txPr>
    </title>
    <plotArea>
      <barChart>
        <barDir val="col"/>
        <grouping val="clustered"/>
        <ser>
          <idx val="0"/>
          <order val="0"/>
          <tx>
            <v>Network In (MB)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'Dashboard'!$A$124:$A$131</f>
            </numRef>
          </cat>
          <val>
            <numRef>
              <f>'Dashboard'!$B$124:$B$131</f>
            </numRef>
          </val>
        </ser>
        <ser>
          <idx val="1"/>
          <order val="1"/>
          <tx>
            <v>Network Out (MB)</v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'Dashboard'!$A$124:$A$131</f>
            </numRef>
          </cat>
          <val>
            <numRef>
              <f>'Dashboard'!$C$124:$C$131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333333"/>
                </a:solidFill>
                <a:latin typeface="Calibri"/>
              </a:defRPr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333333"/>
                </a:solidFill>
                <a:latin typeface="Calibri"/>
              </a:defRPr>
            </a:pPr>
            <a:r>
              <a:t/>
            </a:r>
          </a:p>
        </txPr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S3 Storage Distribution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solidFill>
                <a:srgbClr val="002060"/>
              </a:solidFill>
              <a:latin typeface="Calibri"/>
            </a:defRPr>
          </a:pPr>
          <a:r>
            <a:t/>
          </a:r>
          <a:endParaRPr sz="1200" b="1">
            <a:solidFill>
              <a:srgbClr val="002060"/>
            </a:solidFill>
            <a:latin typeface="Calibri"/>
          </a:endParaRPr>
        </a:p>
      </txPr>
    </title>
    <plotArea>
      <pieChart>
        <varyColors val="1"/>
        <ser>
          <idx val="0"/>
          <order val="0"/>
          <tx>
            <strRef>
              <f>'Dashboard'!B133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9B57A0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255E91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1"/>
            <showSerName val="0"/>
            <showPercent val="1"/>
          </dLbls>
          <cat>
            <numRef>
              <f>'Dashboard'!$A$134:$A$144</f>
            </numRef>
          </cat>
          <val>
            <numRef>
              <f>'Dashboard'!$B$134:$B$144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ALB Request Count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solidFill>
                <a:srgbClr val="002060"/>
              </a:solidFill>
              <a:latin typeface="Calibri"/>
            </a:defRPr>
          </a:pPr>
          <a:r>
            <a:t/>
          </a:r>
          <a:endParaRPr sz="1200" b="1">
            <a:solidFill>
              <a:srgbClr val="002060"/>
            </a:solidFill>
            <a:latin typeface="Calibri"/>
          </a:endParaRPr>
        </a:p>
      </txPr>
    </title>
    <plotArea>
      <barChart>
        <barDir val="col"/>
        <grouping val="clustered"/>
        <ser>
          <idx val="0"/>
          <order val="0"/>
          <tx>
            <v>Requests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'Dashboard'!$A$147:$A$149</f>
            </numRef>
          </cat>
          <val>
            <numRef>
              <f>'Dashboard'!$B$147:$B$149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333333"/>
                </a:solidFill>
                <a:latin typeface="Calibri"/>
              </a:defRPr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333333"/>
                </a:solidFill>
                <a:latin typeface="Calibri"/>
              </a:defRPr>
            </a:pPr>
            <a:r>
              <a:t/>
            </a:r>
          </a:p>
        </txPr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oneCellAnchor>
    <from>
      <col>0</col>
      <colOff>0</colOff>
      <row>37</row>
      <rowOff>0</rowOff>
    </from>
    <ext cx="8496300" cy="5848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7905750" cy="287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41</row>
      <rowOff>0</rowOff>
    </from>
    <ext cx="576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41</row>
      <rowOff>0</rowOff>
    </from>
    <ext cx="576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61</row>
      <rowOff>0</rowOff>
    </from>
    <ext cx="5760000" cy="43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61</row>
      <rowOff>0</rowOff>
    </from>
    <ext cx="5760000" cy="43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002060"/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5" customWidth="1" min="3" max="3"/>
    <col width="35" customWidth="1" min="4" max="4"/>
    <col width="5" customWidth="1" min="5" max="5"/>
    <col width="20" customWidth="1" min="6" max="6"/>
    <col width="5" customWidth="1" min="7" max="7"/>
    <col width="3" customWidth="1" min="8" max="8"/>
  </cols>
  <sheetData>
    <row r="1" ht="25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25" customHeight="1">
      <c r="A2" s="1" t="n"/>
      <c r="B2" s="2" t="inlineStr">
        <is>
          <t>AWS Weekly BAU Report</t>
        </is>
      </c>
      <c r="H2" s="1" t="n"/>
    </row>
    <row r="3" ht="25" customHeight="1">
      <c r="A3" s="1" t="n"/>
      <c r="H3" s="1" t="n"/>
    </row>
    <row r="4" ht="25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5" customHeight="1">
      <c r="A5" s="1" t="n"/>
      <c r="B5" s="3" t="inlineStr">
        <is>
          <t>Infrastructure &amp; Cost Management Review</t>
        </is>
      </c>
      <c r="H5" s="1" t="n"/>
    </row>
    <row r="6" ht="25" customHeight="1">
      <c r="A6" s="1" t="n"/>
      <c r="B6" s="1" t="n"/>
      <c r="C6" s="1" t="n"/>
      <c r="D6" s="1" t="n"/>
      <c r="E6" s="1" t="n"/>
      <c r="F6" s="1" t="n"/>
      <c r="G6" s="1" t="n"/>
      <c r="H6" s="1" t="n"/>
    </row>
    <row r="7" ht="25" customHeight="1">
      <c r="A7" s="1" t="n"/>
      <c r="B7" s="1" t="n"/>
      <c r="C7" s="1" t="n"/>
      <c r="D7" s="1" t="n"/>
      <c r="E7" s="1" t="n"/>
      <c r="F7" s="1" t="n"/>
      <c r="G7" s="1" t="n"/>
      <c r="H7" s="1" t="n"/>
    </row>
    <row r="8" ht="25" customHeight="1">
      <c r="A8" s="1" t="n"/>
      <c r="B8" s="1" t="n"/>
      <c r="C8" s="1" t="n"/>
      <c r="D8" s="1" t="n"/>
      <c r="E8" s="1" t="n"/>
      <c r="F8" s="1" t="n"/>
      <c r="G8" s="1" t="n"/>
      <c r="H8" s="1" t="n"/>
    </row>
    <row r="11" ht="26" customHeight="1">
      <c r="B11" s="4" t="inlineStr">
        <is>
          <t>Client Name</t>
        </is>
      </c>
      <c r="C11" s="5" t="inlineStr">
        <is>
          <t>:</t>
        </is>
      </c>
      <c r="D11" s="6" t="inlineStr">
        <is>
          <t>JUST UDO AVIATION PRIVATE LIMITED (Fly91)</t>
        </is>
      </c>
    </row>
    <row r="13" ht="26" customHeight="1">
      <c r="B13" s="4" t="inlineStr">
        <is>
          <t>AWS Account ID</t>
        </is>
      </c>
      <c r="C13" s="5" t="inlineStr">
        <is>
          <t>:</t>
        </is>
      </c>
      <c r="D13" s="6" t="inlineStr">
        <is>
          <t>674351849978</t>
        </is>
      </c>
    </row>
    <row r="15" ht="26" customHeight="1">
      <c r="B15" s="4" t="inlineStr">
        <is>
          <t>Reporting Period</t>
        </is>
      </c>
      <c r="C15" s="5" t="inlineStr">
        <is>
          <t>:</t>
        </is>
      </c>
      <c r="D15" s="6" t="inlineStr">
        <is>
          <t>2026-09-14  to  2026-09-20</t>
        </is>
      </c>
    </row>
    <row r="17" ht="26" customHeight="1">
      <c r="B17" s="4" t="inlineStr">
        <is>
          <t>Prepared By</t>
        </is>
      </c>
      <c r="C17" s="5" t="inlineStr">
        <is>
          <t>:</t>
        </is>
      </c>
      <c r="D17" s="6" t="inlineStr">
        <is>
          <t>Cloud Operations Team</t>
        </is>
      </c>
    </row>
    <row r="19" ht="26" customHeight="1">
      <c r="B19" s="4" t="inlineStr">
        <is>
          <t>Generated On</t>
        </is>
      </c>
      <c r="C19" s="5" t="inlineStr">
        <is>
          <t>:</t>
        </is>
      </c>
      <c r="D19" s="6" t="inlineStr">
        <is>
          <t>October 05, 2026  12:16 AM</t>
        </is>
      </c>
    </row>
    <row r="23" ht="30" customHeight="1">
      <c r="A23" s="7" t="inlineStr">
        <is>
          <t>CONFIDENTIAL – For Internal Use Only</t>
        </is>
      </c>
    </row>
  </sheetData>
  <mergeCells count="8">
    <mergeCell ref="D19:F19"/>
    <mergeCell ref="D13:F13"/>
    <mergeCell ref="B2:G3"/>
    <mergeCell ref="D11:F11"/>
    <mergeCell ref="B5:G5"/>
    <mergeCell ref="D17:F17"/>
    <mergeCell ref="A23:H23"/>
    <mergeCell ref="D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8" t="inlineStr">
        <is>
          <t>Executive Summary</t>
        </is>
      </c>
    </row>
    <row r="3" ht="28" customHeight="1">
      <c r="A3" s="9" t="inlineStr">
        <is>
          <t>💰 Cost Overview</t>
        </is>
      </c>
    </row>
    <row r="5" ht="22" customHeight="1">
      <c r="B5" s="10" t="inlineStr">
        <is>
          <t>Current Week Cost</t>
        </is>
      </c>
      <c r="C5" s="11" t="inlineStr">
        <is>
          <t>$705.25</t>
        </is>
      </c>
    </row>
    <row r="6" ht="22" customHeight="1">
      <c r="B6" s="10" t="inlineStr">
        <is>
          <t>Previous Week Cost</t>
        </is>
      </c>
      <c r="C6" s="11" t="inlineStr">
        <is>
          <t>$728.33</t>
        </is>
      </c>
    </row>
    <row r="7" ht="22" customHeight="1">
      <c r="B7" s="10" t="inlineStr">
        <is>
          <t>Week-over-Week Change</t>
        </is>
      </c>
      <c r="C7" s="11" t="inlineStr">
        <is>
          <t>-$23.08  (↓ 3.2%)</t>
        </is>
      </c>
    </row>
    <row r="8" ht="22" customHeight="1">
      <c r="B8" s="10" t="inlineStr">
        <is>
          <t>Average Daily Cost</t>
        </is>
      </c>
      <c r="C8" s="11" t="inlineStr">
        <is>
          <t>$100.75</t>
        </is>
      </c>
    </row>
    <row r="10" ht="28" customHeight="1">
      <c r="B10" s="12" t="inlineStr">
        <is>
          <t>✅  Cost decreased by 3.2% compared to the previous week. Optimisation efforts are yielding results.</t>
        </is>
      </c>
    </row>
    <row r="12" ht="28" customHeight="1">
      <c r="A12" s="9" t="inlineStr">
        <is>
          <t>🖥️ Infrastructure Overview</t>
        </is>
      </c>
    </row>
    <row r="14" ht="22" customHeight="1">
      <c r="B14" s="10" t="inlineStr">
        <is>
          <t>Total EC2 Instances</t>
        </is>
      </c>
      <c r="C14" s="11" t="inlineStr">
        <is>
          <t>9</t>
        </is>
      </c>
    </row>
    <row r="15" ht="22" customHeight="1">
      <c r="B15" s="10" t="inlineStr">
        <is>
          <t>Running</t>
        </is>
      </c>
      <c r="C15" s="11" t="inlineStr">
        <is>
          <t>8</t>
        </is>
      </c>
    </row>
    <row r="16" ht="22" customHeight="1">
      <c r="B16" s="10" t="inlineStr">
        <is>
          <t>Stopped</t>
        </is>
      </c>
      <c r="C16" s="11" t="inlineStr">
        <is>
          <t>1</t>
        </is>
      </c>
    </row>
    <row r="17" ht="22" customHeight="1">
      <c r="B17" s="10" t="inlineStr">
        <is>
          <t>Avg CPU Utilisation</t>
        </is>
      </c>
      <c r="C17" s="11" t="inlineStr">
        <is>
          <t>6.2%</t>
        </is>
      </c>
    </row>
    <row r="18" ht="22" customHeight="1">
      <c r="B18" s="10" t="inlineStr">
        <is>
          <t>Peak CPU Utilisation</t>
        </is>
      </c>
      <c r="C18" s="11" t="inlineStr">
        <is>
          <t>77.1%</t>
        </is>
      </c>
    </row>
    <row r="20" ht="28" customHeight="1">
      <c r="A20" s="9" t="inlineStr">
        <is>
          <t>📋 Service Summary</t>
        </is>
      </c>
    </row>
    <row r="22" ht="22" customHeight="1">
      <c r="B22" s="10" t="inlineStr">
        <is>
          <t>EC2 Instances</t>
        </is>
      </c>
      <c r="C22" s="11" t="inlineStr">
        <is>
          <t>9</t>
        </is>
      </c>
    </row>
    <row r="23" ht="22" customHeight="1">
      <c r="B23" s="10" t="inlineStr">
        <is>
          <t>Load Balancers (ALB)</t>
        </is>
      </c>
      <c r="C23" s="11" t="inlineStr">
        <is>
          <t>3</t>
        </is>
      </c>
    </row>
    <row r="24" ht="22" customHeight="1">
      <c r="B24" s="10" t="inlineStr">
        <is>
          <t>WAF Web ACLs</t>
        </is>
      </c>
      <c r="C24" s="11" t="inlineStr">
        <is>
          <t>2</t>
        </is>
      </c>
    </row>
    <row r="25" ht="22" customHeight="1">
      <c r="B25" s="10" t="inlineStr">
        <is>
          <t>S3 Buckets</t>
        </is>
      </c>
      <c r="C25" s="11" t="inlineStr">
        <is>
          <t>14</t>
        </is>
      </c>
    </row>
    <row r="26" ht="22" customHeight="1">
      <c r="B26" s="10" t="inlineStr">
        <is>
          <t>RDS Instances</t>
        </is>
      </c>
      <c r="C26" s="11" t="inlineStr">
        <is>
          <t>6</t>
        </is>
      </c>
    </row>
    <row r="27" ht="22" customHeight="1">
      <c r="B27" s="10" t="inlineStr">
        <is>
          <t>Security Findings</t>
        </is>
      </c>
      <c r="C27" s="11" t="inlineStr">
        <is>
          <t>Inspector 464 (Crit/High 239)  |  GuardDuty 66 (High 0)</t>
        </is>
      </c>
    </row>
    <row r="29" ht="28" customHeight="1">
      <c r="A29" s="9" t="inlineStr">
        <is>
          <t>🚦 Health Status</t>
        </is>
      </c>
    </row>
    <row r="31">
      <c r="B31" s="13" t="inlineStr">
        <is>
          <t>Category</t>
        </is>
      </c>
      <c r="C31" s="13" t="inlineStr">
        <is>
          <t>Status</t>
        </is>
      </c>
      <c r="D31" s="13" t="inlineStr">
        <is>
          <t>Details</t>
        </is>
      </c>
    </row>
    <row r="32">
      <c r="B32" s="14" t="inlineStr">
        <is>
          <t>Cost Trend</t>
        </is>
      </c>
      <c r="C32" s="15" t="inlineStr">
        <is>
          <t>🟢 HEALTHY</t>
        </is>
      </c>
      <c r="D32" s="16" t="inlineStr">
        <is>
          <t>Cost within normal range</t>
        </is>
      </c>
    </row>
    <row r="33">
      <c r="B33" s="17" t="inlineStr">
        <is>
          <t>CPU Utilisation</t>
        </is>
      </c>
      <c r="C33" s="15" t="inlineStr">
        <is>
          <t>🟢 HEALTHY</t>
        </is>
      </c>
      <c r="D33" s="18" t="inlineStr">
        <is>
          <t>All instances below 70%</t>
        </is>
      </c>
    </row>
    <row r="34">
      <c r="B34" s="14" t="inlineStr">
        <is>
          <t>Memory Utilisation</t>
        </is>
      </c>
      <c r="C34" s="15" t="inlineStr">
        <is>
          <t>🟢 HEALTHY</t>
        </is>
      </c>
      <c r="D34" s="16" t="inlineStr">
        <is>
          <t>No data / all nominal</t>
        </is>
      </c>
    </row>
    <row r="35">
      <c r="B35" s="17" t="inlineStr">
        <is>
          <t>WAF Security</t>
        </is>
      </c>
      <c r="C35" s="15" t="inlineStr">
        <is>
          <t>🟢 HEALTHY</t>
        </is>
      </c>
      <c r="D35" s="18" t="inlineStr">
        <is>
          <t>93,760 requests blocked</t>
        </is>
      </c>
    </row>
    <row r="36">
      <c r="B36" s="14" t="inlineStr">
        <is>
          <t>RDS Health</t>
        </is>
      </c>
      <c r="C36" s="15" t="inlineStr">
        <is>
          <t>🟢 HEALTHY</t>
        </is>
      </c>
      <c r="D36" s="16" t="inlineStr">
        <is>
          <t>All databases healthy</t>
        </is>
      </c>
    </row>
    <row r="37">
      <c r="B37" s="17" t="inlineStr">
        <is>
          <t>Security Findings</t>
        </is>
      </c>
      <c r="C37" s="19" t="inlineStr">
        <is>
          <t>🔴 CRITICAL</t>
        </is>
      </c>
      <c r="D37" s="18" t="inlineStr">
        <is>
          <t>39 Critical, 200 High finding(s) this week</t>
        </is>
      </c>
    </row>
  </sheetData>
  <mergeCells count="6">
    <mergeCell ref="A12:H12"/>
    <mergeCell ref="A3:H3"/>
    <mergeCell ref="A29:H29"/>
    <mergeCell ref="A20:H20"/>
    <mergeCell ref="B10:H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2060"/>
    <outlinePr summaryBelow="1" summaryRight="1"/>
    <pageSetUpPr/>
  </sheetPr>
  <dimension ref="A1:F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  <col width="45" customWidth="1" min="3" max="3"/>
    <col width="19" customWidth="1" min="4" max="4"/>
    <col width="13" customWidth="1" min="5" max="5"/>
    <col width="18" customWidth="1" min="6" max="6"/>
  </cols>
  <sheetData>
    <row r="1" ht="40" customHeight="1">
      <c r="A1" s="8" t="inlineStr">
        <is>
          <t>Cost Analysis</t>
        </is>
      </c>
    </row>
    <row r="2"/>
    <row r="3" ht="28" customHeight="1">
      <c r="A3" s="9" t="inlineStr">
        <is>
          <t>Weekly Cost Summary</t>
        </is>
      </c>
    </row>
    <row r="4" ht="24" customHeight="1">
      <c r="B4" s="13" t="inlineStr">
        <is>
          <t>Metric</t>
        </is>
      </c>
      <c r="C4" s="13" t="inlineStr">
        <is>
          <t>Value</t>
        </is>
      </c>
    </row>
    <row r="5">
      <c r="B5" s="16" t="inlineStr">
        <is>
          <t>Previous Week Cost</t>
        </is>
      </c>
      <c r="C5" s="20" t="inlineStr">
        <is>
          <t>$728.33</t>
        </is>
      </c>
    </row>
    <row r="6">
      <c r="B6" s="18" t="inlineStr">
        <is>
          <t>Current Week Cost</t>
        </is>
      </c>
      <c r="C6" s="21" t="inlineStr">
        <is>
          <t>$705.25</t>
        </is>
      </c>
    </row>
    <row r="7">
      <c r="B7" s="16" t="inlineStr">
        <is>
          <t>Weekly Difference</t>
        </is>
      </c>
      <c r="C7" s="22" t="inlineStr">
        <is>
          <t>$-23.08</t>
        </is>
      </c>
    </row>
    <row r="8">
      <c r="B8" s="18" t="inlineStr">
        <is>
          <t>% Change</t>
        </is>
      </c>
      <c r="C8" s="23" t="inlineStr">
        <is>
          <t>-3.17%</t>
        </is>
      </c>
    </row>
    <row r="9">
      <c r="B9" s="16" t="inlineStr">
        <is>
          <t>Avg Daily Cost</t>
        </is>
      </c>
      <c r="C9" s="20" t="inlineStr">
        <is>
          <t>$100.75</t>
        </is>
      </c>
    </row>
    <row r="10"/>
    <row r="11" ht="28" customHeight="1">
      <c r="A11" s="9" t="inlineStr">
        <is>
          <t>Top Cost-Contributing Services</t>
        </is>
      </c>
    </row>
    <row r="12" ht="24" customHeight="1">
      <c r="B12" s="13" t="inlineStr">
        <is>
          <t>#</t>
        </is>
      </c>
      <c r="C12" s="13" t="inlineStr">
        <is>
          <t>Service</t>
        </is>
      </c>
      <c r="D12" s="13" t="inlineStr">
        <is>
          <t>Cost ($)</t>
        </is>
      </c>
      <c r="E12" s="13" t="inlineStr">
        <is>
          <t>% of Total</t>
        </is>
      </c>
    </row>
    <row r="13">
      <c r="B13" s="24" t="n">
        <v>1</v>
      </c>
      <c r="C13" s="16" t="inlineStr">
        <is>
          <t>Fortinet FortiGate VM Next-Generation Firewall</t>
        </is>
      </c>
      <c r="D13" s="20" t="inlineStr">
        <is>
          <t>$171.36</t>
        </is>
      </c>
      <c r="E13" s="20" t="inlineStr">
        <is>
          <t>24.3%</t>
        </is>
      </c>
    </row>
    <row r="14">
      <c r="B14" s="25" t="n">
        <v>2</v>
      </c>
      <c r="C14" s="18" t="inlineStr">
        <is>
          <t>Elastic Load Balancing</t>
        </is>
      </c>
      <c r="D14" s="21" t="inlineStr">
        <is>
          <t>$106.97</t>
        </is>
      </c>
      <c r="E14" s="21" t="inlineStr">
        <is>
          <t>15.2%</t>
        </is>
      </c>
    </row>
    <row r="15">
      <c r="B15" s="24" t="n">
        <v>3</v>
      </c>
      <c r="C15" s="16" t="inlineStr">
        <is>
          <t>EC2-Other</t>
        </is>
      </c>
      <c r="D15" s="20" t="inlineStr">
        <is>
          <t>$86.43</t>
        </is>
      </c>
      <c r="E15" s="20" t="inlineStr">
        <is>
          <t>12.3%</t>
        </is>
      </c>
    </row>
    <row r="16">
      <c r="B16" s="25" t="n">
        <v>4</v>
      </c>
      <c r="C16" s="18" t="inlineStr">
        <is>
          <t>Savings Plans for Compute Usage</t>
        </is>
      </c>
      <c r="D16" s="21" t="inlineStr">
        <is>
          <t>$84.00</t>
        </is>
      </c>
      <c r="E16" s="21" t="inlineStr">
        <is>
          <t>11.9%</t>
        </is>
      </c>
    </row>
    <row r="17">
      <c r="B17" s="24" t="n">
        <v>5</v>
      </c>
      <c r="C17" s="16" t="inlineStr">
        <is>
          <t>CloudWatch</t>
        </is>
      </c>
      <c r="D17" s="20" t="inlineStr">
        <is>
          <t>$77.64</t>
        </is>
      </c>
      <c r="E17" s="20" t="inlineStr">
        <is>
          <t>11.0%</t>
        </is>
      </c>
    </row>
    <row r="18">
      <c r="B18" s="25" t="n">
        <v>6</v>
      </c>
      <c r="C18" s="18" t="inlineStr">
        <is>
          <t>Relational Database Service</t>
        </is>
      </c>
      <c r="D18" s="21" t="inlineStr">
        <is>
          <t>$73.68</t>
        </is>
      </c>
      <c r="E18" s="21" t="inlineStr">
        <is>
          <t>10.4%</t>
        </is>
      </c>
    </row>
    <row r="19">
      <c r="B19" s="24" t="n">
        <v>7</v>
      </c>
      <c r="C19" s="16" t="inlineStr">
        <is>
          <t>Config</t>
        </is>
      </c>
      <c r="D19" s="20" t="inlineStr">
        <is>
          <t>$28.11</t>
        </is>
      </c>
      <c r="E19" s="20" t="inlineStr">
        <is>
          <t>4.0%</t>
        </is>
      </c>
    </row>
    <row r="20">
      <c r="B20" s="25" t="n">
        <v>8</v>
      </c>
      <c r="C20" s="18" t="inlineStr">
        <is>
          <t>VPC</t>
        </is>
      </c>
      <c r="D20" s="21" t="inlineStr">
        <is>
          <t>$21.93</t>
        </is>
      </c>
      <c r="E20" s="21" t="inlineStr">
        <is>
          <t>3.1%</t>
        </is>
      </c>
    </row>
    <row r="21">
      <c r="B21" s="24" t="n">
        <v>9</v>
      </c>
      <c r="C21" s="16" t="inlineStr">
        <is>
          <t>EC2-Instances</t>
        </is>
      </c>
      <c r="D21" s="20" t="inlineStr">
        <is>
          <t>$20.01</t>
        </is>
      </c>
      <c r="E21" s="20" t="inlineStr">
        <is>
          <t>2.8%</t>
        </is>
      </c>
    </row>
    <row r="22">
      <c r="B22" s="25" t="n">
        <v>10</v>
      </c>
      <c r="C22" s="18" t="inlineStr">
        <is>
          <t>GuardDuty</t>
        </is>
      </c>
      <c r="D22" s="21" t="inlineStr">
        <is>
          <t>$12.52</t>
        </is>
      </c>
      <c r="E22" s="21" t="inlineStr">
        <is>
          <t>1.8%</t>
        </is>
      </c>
    </row>
    <row r="23">
      <c r="B23" s="24" t="n">
        <v>11</v>
      </c>
      <c r="C23" s="16" t="inlineStr">
        <is>
          <t>WAF</t>
        </is>
      </c>
      <c r="D23" s="20" t="inlineStr">
        <is>
          <t>$11.70</t>
        </is>
      </c>
      <c r="E23" s="20" t="inlineStr">
        <is>
          <t>1.7%</t>
        </is>
      </c>
    </row>
    <row r="24">
      <c r="B24" s="25" t="n">
        <v>12</v>
      </c>
      <c r="C24" s="18" t="inlineStr">
        <is>
          <t>Inspector</t>
        </is>
      </c>
      <c r="D24" s="21" t="inlineStr">
        <is>
          <t>$7.85</t>
        </is>
      </c>
      <c r="E24" s="21" t="inlineStr">
        <is>
          <t>1.1%</t>
        </is>
      </c>
    </row>
    <row r="25">
      <c r="B25" s="24" t="n">
        <v>13</v>
      </c>
      <c r="C25" s="16" t="inlineStr">
        <is>
          <t>S3</t>
        </is>
      </c>
      <c r="D25" s="20" t="inlineStr">
        <is>
          <t>$1.21</t>
        </is>
      </c>
      <c r="E25" s="20" t="inlineStr">
        <is>
          <t>0.2%</t>
        </is>
      </c>
    </row>
    <row r="26">
      <c r="B26" s="25" t="n">
        <v>14</v>
      </c>
      <c r="C26" s="18" t="inlineStr">
        <is>
          <t>Lambda</t>
        </is>
      </c>
      <c r="D26" s="21" t="inlineStr">
        <is>
          <t>$0.72</t>
        </is>
      </c>
      <c r="E26" s="21" t="inlineStr">
        <is>
          <t>0.1%</t>
        </is>
      </c>
    </row>
    <row r="27">
      <c r="B27" s="24" t="n">
        <v>15</v>
      </c>
      <c r="C27" s="16" t="inlineStr">
        <is>
          <t>Route 53</t>
        </is>
      </c>
      <c r="D27" s="20" t="inlineStr">
        <is>
          <t>$0.35</t>
        </is>
      </c>
      <c r="E27" s="20" t="inlineStr">
        <is>
          <t>0.0%</t>
        </is>
      </c>
    </row>
    <row r="28"/>
    <row r="29" ht="28" customHeight="1">
      <c r="A29" s="9" t="inlineStr">
        <is>
          <t>Service-Level Cost Changes</t>
        </is>
      </c>
    </row>
    <row r="30" ht="24" customHeight="1">
      <c r="B30" s="13" t="inlineStr">
        <is>
          <t>Service</t>
        </is>
      </c>
      <c r="C30" s="13" t="inlineStr">
        <is>
          <t>Cost ($)</t>
        </is>
      </c>
      <c r="D30" s="13" t="inlineStr">
        <is>
          <t>Change Indicator</t>
        </is>
      </c>
    </row>
    <row r="31">
      <c r="B31" s="16" t="inlineStr">
        <is>
          <t>Fortinet FortiGate VM Next-Generation Firewall</t>
        </is>
      </c>
      <c r="C31" s="26" t="inlineStr">
        <is>
          <t>→ No change</t>
        </is>
      </c>
      <c r="D31" s="20" t="inlineStr">
        <is>
          <t>$171.36</t>
        </is>
      </c>
    </row>
    <row r="32">
      <c r="B32" s="18" t="inlineStr">
        <is>
          <t>Elastic Load Balancing</t>
        </is>
      </c>
      <c r="C32" s="15" t="inlineStr">
        <is>
          <t>↓ -11.3%</t>
        </is>
      </c>
      <c r="D32" s="21" t="inlineStr">
        <is>
          <t>$106.97</t>
        </is>
      </c>
    </row>
    <row r="33">
      <c r="B33" s="16" t="inlineStr">
        <is>
          <t>EC2-Other</t>
        </is>
      </c>
      <c r="C33" s="19" t="inlineStr">
        <is>
          <t>↑ +0.3%</t>
        </is>
      </c>
      <c r="D33" s="20" t="inlineStr">
        <is>
          <t>$86.43</t>
        </is>
      </c>
    </row>
    <row r="34">
      <c r="B34" s="18" t="inlineStr">
        <is>
          <t>Savings Plans for Compute Usage</t>
        </is>
      </c>
      <c r="C34" s="27" t="inlineStr">
        <is>
          <t>→ No change</t>
        </is>
      </c>
      <c r="D34" s="21" t="inlineStr">
        <is>
          <t>$84.00</t>
        </is>
      </c>
    </row>
    <row r="35">
      <c r="B35" s="16" t="inlineStr">
        <is>
          <t>CloudWatch</t>
        </is>
      </c>
      <c r="C35" s="15" t="inlineStr">
        <is>
          <t>↓ -1.4%</t>
        </is>
      </c>
      <c r="D35" s="20" t="inlineStr">
        <is>
          <t>$77.64</t>
        </is>
      </c>
    </row>
    <row r="36">
      <c r="B36" s="18" t="inlineStr">
        <is>
          <t>Relational Database Service</t>
        </is>
      </c>
      <c r="C36" s="15" t="inlineStr">
        <is>
          <t>↓ -8.5%</t>
        </is>
      </c>
      <c r="D36" s="21" t="inlineStr">
        <is>
          <t>$73.68</t>
        </is>
      </c>
    </row>
    <row r="37">
      <c r="B37" s="16" t="inlineStr">
        <is>
          <t>Config</t>
        </is>
      </c>
      <c r="C37" s="19" t="inlineStr">
        <is>
          <t>↑ +0.5%</t>
        </is>
      </c>
      <c r="D37" s="20" t="inlineStr">
        <is>
          <t>$28.11</t>
        </is>
      </c>
    </row>
    <row r="38">
      <c r="B38" s="18" t="inlineStr">
        <is>
          <t>VPC</t>
        </is>
      </c>
      <c r="C38" s="15" t="inlineStr">
        <is>
          <t>↓ -1.9%</t>
        </is>
      </c>
      <c r="D38" s="21" t="inlineStr">
        <is>
          <t>$21.93</t>
        </is>
      </c>
    </row>
    <row r="39">
      <c r="B39" s="16" t="inlineStr">
        <is>
          <t>EC2-Instances</t>
        </is>
      </c>
      <c r="C39" s="15" t="inlineStr">
        <is>
          <t>↓ -3.1%</t>
        </is>
      </c>
      <c r="D39" s="20" t="inlineStr">
        <is>
          <t>$20.01</t>
        </is>
      </c>
    </row>
    <row r="40">
      <c r="B40" s="18" t="inlineStr">
        <is>
          <t>GuardDuty</t>
        </is>
      </c>
      <c r="C40" s="15" t="inlineStr">
        <is>
          <t>↓ -0.9%</t>
        </is>
      </c>
      <c r="D40" s="21" t="inlineStr">
        <is>
          <t>$12.52</t>
        </is>
      </c>
    </row>
    <row r="41">
      <c r="B41" s="16" t="inlineStr">
        <is>
          <t>WAF</t>
        </is>
      </c>
      <c r="C41" s="15" t="inlineStr">
        <is>
          <t>↓ -7.6%</t>
        </is>
      </c>
      <c r="D41" s="20" t="inlineStr">
        <is>
          <t>$11.70</t>
        </is>
      </c>
    </row>
    <row r="42">
      <c r="B42" s="18" t="inlineStr">
        <is>
          <t>Inspector</t>
        </is>
      </c>
      <c r="C42" s="27" t="inlineStr">
        <is>
          <t>→ No change</t>
        </is>
      </c>
      <c r="D42" s="21" t="inlineStr">
        <is>
          <t>$7.85</t>
        </is>
      </c>
    </row>
    <row r="43">
      <c r="B43" s="16" t="inlineStr">
        <is>
          <t>S3</t>
        </is>
      </c>
      <c r="C43" s="15" t="inlineStr">
        <is>
          <t>↓ -1.6%</t>
        </is>
      </c>
      <c r="D43" s="20" t="inlineStr">
        <is>
          <t>$1.21</t>
        </is>
      </c>
    </row>
    <row r="44">
      <c r="B44" s="18" t="inlineStr">
        <is>
          <t>Lambda</t>
        </is>
      </c>
      <c r="C44" s="19" t="inlineStr">
        <is>
          <t>↑ +22.0%</t>
        </is>
      </c>
      <c r="D44" s="21" t="inlineStr">
        <is>
          <t>$0.72</t>
        </is>
      </c>
    </row>
    <row r="45">
      <c r="B45" s="16" t="inlineStr">
        <is>
          <t>Route 53</t>
        </is>
      </c>
      <c r="C45" s="19" t="inlineStr">
        <is>
          <t>↑ +2.9%</t>
        </is>
      </c>
      <c r="D45" s="20" t="inlineStr">
        <is>
          <t>$0.35</t>
        </is>
      </c>
    </row>
  </sheetData>
  <autoFilter ref="A4:F45"/>
  <mergeCells count="4">
    <mergeCell ref="A3:F3"/>
    <mergeCell ref="A11:F11"/>
    <mergeCell ref="A1:F1"/>
    <mergeCell ref="A29:F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2060"/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6" customWidth="1" min="3" max="3"/>
    <col width="14" customWidth="1" min="4" max="4"/>
    <col width="21" customWidth="1" min="5" max="5"/>
    <col width="22" customWidth="1" min="6" max="6"/>
    <col width="25" customWidth="1" min="7" max="7"/>
    <col width="15" customWidth="1" min="8" max="8"/>
  </cols>
  <sheetData>
    <row r="1" ht="40" customHeight="1">
      <c r="A1" s="8" t="inlineStr">
        <is>
          <t>EC2 Instance Details</t>
        </is>
      </c>
    </row>
    <row r="2"/>
    <row r="3" ht="28" customHeight="1">
      <c r="A3" s="9" t="inlineStr">
        <is>
          <t>Server Utilisation</t>
        </is>
      </c>
    </row>
    <row r="4" ht="24" customHeight="1">
      <c r="A4" s="13" t="inlineStr">
        <is>
          <t>Name</t>
        </is>
      </c>
      <c r="B4" s="13" t="inlineStr">
        <is>
          <t>Instance ID</t>
        </is>
      </c>
      <c r="C4" s="13" t="inlineStr">
        <is>
          <t>Instance Type</t>
        </is>
      </c>
      <c r="D4" s="13" t="inlineStr">
        <is>
          <t>Min CPU (%)</t>
        </is>
      </c>
      <c r="E4" s="13" t="inlineStr">
        <is>
          <t>Max CPU (%)</t>
        </is>
      </c>
      <c r="F4" s="13" t="inlineStr">
        <is>
          <t>Avg CPU (%)</t>
        </is>
      </c>
      <c r="G4" s="13" t="inlineStr">
        <is>
          <t>Memory Utilization (%)</t>
        </is>
      </c>
      <c r="H4" s="13" t="inlineStr">
        <is>
          <t>Current Disk</t>
        </is>
      </c>
    </row>
    <row r="5" ht="20" customHeight="1">
      <c r="A5" s="24" t="inlineStr">
        <is>
          <t>Fortinet-FW</t>
        </is>
      </c>
      <c r="B5" s="24" t="inlineStr">
        <is>
          <t>i-06a53ce120fca7a28</t>
        </is>
      </c>
      <c r="C5" s="24" t="inlineStr">
        <is>
          <t>c6i.xlarge</t>
        </is>
      </c>
      <c r="D5" s="24" t="n">
        <v>0.59</v>
      </c>
      <c r="E5" s="24" t="n">
        <v>6.19</v>
      </c>
      <c r="F5" s="24" t="n">
        <v>0.83</v>
      </c>
      <c r="G5" s="24" t="inlineStr">
        <is>
          <t>-</t>
        </is>
      </c>
      <c r="H5" s="24" t="inlineStr">
        <is>
          <t>-</t>
        </is>
      </c>
    </row>
    <row r="6" ht="20" customHeight="1">
      <c r="A6" s="25" t="inlineStr">
        <is>
          <t>FLY91- Staging Website</t>
        </is>
      </c>
      <c r="B6" s="25" t="inlineStr">
        <is>
          <t>i-041cbf2e1ea9a05ee</t>
        </is>
      </c>
      <c r="C6" s="25" t="inlineStr">
        <is>
          <t>t3a.xlarge</t>
        </is>
      </c>
      <c r="D6" s="25" t="n">
        <v>4.5</v>
      </c>
      <c r="E6" s="25" t="n">
        <v>35.46</v>
      </c>
      <c r="F6" s="25" t="n">
        <v>9.19</v>
      </c>
      <c r="G6" s="25" t="inlineStr">
        <is>
          <t>-</t>
        </is>
      </c>
      <c r="H6" s="25" t="inlineStr">
        <is>
          <t>91.6%</t>
        </is>
      </c>
    </row>
    <row r="7" ht="20" customHeight="1">
      <c r="A7" s="24" t="inlineStr">
        <is>
          <t>FLY91- Production Website</t>
        </is>
      </c>
      <c r="B7" s="24" t="inlineStr">
        <is>
          <t>i-056b66d8b569a4a26</t>
        </is>
      </c>
      <c r="C7" s="24" t="inlineStr">
        <is>
          <t>r6a.xlarge</t>
        </is>
      </c>
      <c r="D7" s="24" t="n">
        <v>2.79</v>
      </c>
      <c r="E7" s="24" t="n">
        <v>77.11</v>
      </c>
      <c r="F7" s="24" t="n">
        <v>8.869999999999999</v>
      </c>
      <c r="G7" s="24" t="inlineStr">
        <is>
          <t>-</t>
        </is>
      </c>
      <c r="H7" s="24" t="inlineStr">
        <is>
          <t>49.0%</t>
        </is>
      </c>
    </row>
    <row r="8" ht="20" customHeight="1">
      <c r="A8" s="25" t="inlineStr">
        <is>
          <t>Fly91-SFTP</t>
        </is>
      </c>
      <c r="B8" s="25" t="inlineStr">
        <is>
          <t>i-0b108151d07fe2bf8</t>
        </is>
      </c>
      <c r="C8" s="25" t="inlineStr">
        <is>
          <t>t3a.medium</t>
        </is>
      </c>
      <c r="D8" s="25" t="n">
        <v>2.65</v>
      </c>
      <c r="E8" s="25" t="n">
        <v>49.97</v>
      </c>
      <c r="F8" s="25" t="n">
        <v>3.89</v>
      </c>
      <c r="G8" s="25" t="inlineStr">
        <is>
          <t>-</t>
        </is>
      </c>
      <c r="H8" s="25" t="inlineStr">
        <is>
          <t>76.3%</t>
        </is>
      </c>
    </row>
    <row r="9" ht="20" customHeight="1">
      <c r="A9" s="24" t="inlineStr">
        <is>
          <t>Fly91-Desk</t>
        </is>
      </c>
      <c r="B9" s="24" t="inlineStr">
        <is>
          <t>i-0e24da06be3f86a40</t>
        </is>
      </c>
      <c r="C9" s="24" t="inlineStr">
        <is>
          <t>t3a.medium</t>
        </is>
      </c>
      <c r="D9" s="24" t="n">
        <v>1.25</v>
      </c>
      <c r="E9" s="24" t="n">
        <v>28.72</v>
      </c>
      <c r="F9" s="24" t="n">
        <v>1.8</v>
      </c>
      <c r="G9" s="24" t="inlineStr">
        <is>
          <t>-</t>
        </is>
      </c>
      <c r="H9" s="24" t="inlineStr">
        <is>
          <t>21.8%</t>
        </is>
      </c>
    </row>
    <row r="10" ht="20" customHeight="1">
      <c r="A10" s="25" t="inlineStr">
        <is>
          <t>FLY91-Website-testing</t>
        </is>
      </c>
      <c r="B10" s="25" t="inlineStr">
        <is>
          <t>i-0d0653d04b9306f42</t>
        </is>
      </c>
      <c r="C10" s="25" t="inlineStr">
        <is>
          <t>r6a.large</t>
        </is>
      </c>
      <c r="D10" s="25" t="inlineStr">
        <is>
          <t>-</t>
        </is>
      </c>
      <c r="E10" s="25" t="inlineStr">
        <is>
          <t>-</t>
        </is>
      </c>
      <c r="F10" s="25" t="inlineStr">
        <is>
          <t>-</t>
        </is>
      </c>
      <c r="G10" s="25" t="inlineStr">
        <is>
          <t>-</t>
        </is>
      </c>
      <c r="H10" s="25" t="inlineStr">
        <is>
          <t>-</t>
        </is>
      </c>
    </row>
    <row r="11" ht="20" customHeight="1">
      <c r="A11" s="24" t="inlineStr">
        <is>
          <t>Fly91-Development-Server-Windows</t>
        </is>
      </c>
      <c r="B11" s="24" t="inlineStr">
        <is>
          <t>i-00a0097da058e39a1</t>
        </is>
      </c>
      <c r="C11" s="24" t="inlineStr">
        <is>
          <t>t3a.xlarge</t>
        </is>
      </c>
      <c r="D11" s="24" t="n">
        <v>9.93</v>
      </c>
      <c r="E11" s="24" t="n">
        <v>58.83</v>
      </c>
      <c r="F11" s="24" t="n">
        <v>14.3</v>
      </c>
      <c r="G11" s="24" t="inlineStr">
        <is>
          <t>-</t>
        </is>
      </c>
      <c r="H11" s="24" t="inlineStr">
        <is>
          <t>C: 51.3%</t>
        </is>
      </c>
    </row>
    <row r="12" ht="20" customHeight="1">
      <c r="A12" s="25" t="inlineStr">
        <is>
          <t>Fly91-Development-Server-Ubuntu</t>
        </is>
      </c>
      <c r="B12" s="25" t="inlineStr">
        <is>
          <t>i-0233bf5f2a51870df</t>
        </is>
      </c>
      <c r="C12" s="25" t="inlineStr">
        <is>
          <t>t3a.xlarge</t>
        </is>
      </c>
      <c r="D12" s="25" t="n">
        <v>2.49</v>
      </c>
      <c r="E12" s="25" t="n">
        <v>42.45</v>
      </c>
      <c r="F12" s="25" t="n">
        <v>5.77</v>
      </c>
      <c r="G12" s="25" t="inlineStr">
        <is>
          <t>-</t>
        </is>
      </c>
      <c r="H12" s="25" t="inlineStr">
        <is>
          <t>87.7%</t>
        </is>
      </c>
    </row>
    <row r="13" ht="20" customHeight="1">
      <c r="A13" s="24" t="inlineStr">
        <is>
          <t>FLY91 - Data Science Production</t>
        </is>
      </c>
      <c r="B13" s="24" t="inlineStr">
        <is>
          <t>i-08b66727cdf8d5896</t>
        </is>
      </c>
      <c r="C13" s="24" t="inlineStr">
        <is>
          <t>t3a.large</t>
        </is>
      </c>
      <c r="D13" s="24" t="n">
        <v>0.89</v>
      </c>
      <c r="E13" s="24" t="n">
        <v>32.93</v>
      </c>
      <c r="F13" s="24" t="n">
        <v>5.15</v>
      </c>
      <c r="G13" s="24" t="inlineStr">
        <is>
          <t>-</t>
        </is>
      </c>
      <c r="H13" s="24" t="inlineStr">
        <is>
          <t>14.2%</t>
        </is>
      </c>
    </row>
    <row r="14"/>
    <row r="15" ht="28" customHeight="1">
      <c r="A15" s="9" t="inlineStr">
        <is>
          <t>Bandwidth &amp; Network</t>
        </is>
      </c>
    </row>
    <row r="16" ht="24" customHeight="1">
      <c r="A16" s="13" t="inlineStr">
        <is>
          <t>Name</t>
        </is>
      </c>
      <c r="B16" s="13" t="inlineStr">
        <is>
          <t>Instance ID</t>
        </is>
      </c>
      <c r="C16" s="13" t="inlineStr">
        <is>
          <t>Network In</t>
        </is>
      </c>
      <c r="D16" s="13" t="inlineStr">
        <is>
          <t>Network Out</t>
        </is>
      </c>
      <c r="E16" s="13" t="inlineStr">
        <is>
          <t>Network Packets In</t>
        </is>
      </c>
      <c r="F16" s="13" t="inlineStr">
        <is>
          <t>Network Packets Out</t>
        </is>
      </c>
    </row>
    <row r="17" ht="20" customHeight="1">
      <c r="A17" s="24" t="inlineStr">
        <is>
          <t>Fortinet-FW</t>
        </is>
      </c>
      <c r="B17" s="24" t="inlineStr">
        <is>
          <t>i-06a53ce120fca7a28</t>
        </is>
      </c>
      <c r="C17" s="24" t="inlineStr">
        <is>
          <t>1.29 GB</t>
        </is>
      </c>
      <c r="D17" s="24" t="inlineStr">
        <is>
          <t>1.35 GB</t>
        </is>
      </c>
      <c r="E17" s="24" t="inlineStr">
        <is>
          <t>952.35K</t>
        </is>
      </c>
      <c r="F17" s="24" t="inlineStr">
        <is>
          <t>955.08K</t>
        </is>
      </c>
    </row>
    <row r="18" ht="20" customHeight="1">
      <c r="A18" s="25" t="inlineStr">
        <is>
          <t>FLY91- Staging Website</t>
        </is>
      </c>
      <c r="B18" s="25" t="inlineStr">
        <is>
          <t>i-041cbf2e1ea9a05ee</t>
        </is>
      </c>
      <c r="C18" s="25" t="inlineStr">
        <is>
          <t>1.41 GB</t>
        </is>
      </c>
      <c r="D18" s="25" t="inlineStr">
        <is>
          <t>1.68 GB</t>
        </is>
      </c>
      <c r="E18" s="25" t="inlineStr">
        <is>
          <t>1.03M</t>
        </is>
      </c>
      <c r="F18" s="25" t="inlineStr">
        <is>
          <t>1.10M</t>
        </is>
      </c>
    </row>
    <row r="19" ht="20" customHeight="1">
      <c r="A19" s="24" t="inlineStr">
        <is>
          <t>FLY91- Production Website</t>
        </is>
      </c>
      <c r="B19" s="24" t="inlineStr">
        <is>
          <t>i-056b66d8b569a4a26</t>
        </is>
      </c>
      <c r="C19" s="24" t="inlineStr">
        <is>
          <t>665.20 MB</t>
        </is>
      </c>
      <c r="D19" s="24" t="inlineStr">
        <is>
          <t>896.54 MB</t>
        </is>
      </c>
      <c r="E19" s="24" t="inlineStr">
        <is>
          <t>446.27K</t>
        </is>
      </c>
      <c r="F19" s="24" t="inlineStr">
        <is>
          <t>169.12K</t>
        </is>
      </c>
    </row>
    <row r="20" ht="20" customHeight="1">
      <c r="A20" s="25" t="inlineStr">
        <is>
          <t>Fly91-SFTP</t>
        </is>
      </c>
      <c r="B20" s="25" t="inlineStr">
        <is>
          <t>i-0b108151d07fe2bf8</t>
        </is>
      </c>
      <c r="C20" s="25" t="inlineStr">
        <is>
          <t>92.84 MB</t>
        </is>
      </c>
      <c r="D20" s="25" t="inlineStr">
        <is>
          <t>15.02 MB</t>
        </is>
      </c>
      <c r="E20" s="25" t="inlineStr">
        <is>
          <t>58.77K</t>
        </is>
      </c>
      <c r="F20" s="25" t="inlineStr">
        <is>
          <t>17.50K</t>
        </is>
      </c>
    </row>
    <row r="21" ht="20" customHeight="1">
      <c r="A21" s="24" t="inlineStr">
        <is>
          <t>Fly91-Desk</t>
        </is>
      </c>
      <c r="B21" s="24" t="inlineStr">
        <is>
          <t>i-0e24da06be3f86a40</t>
        </is>
      </c>
      <c r="C21" s="24" t="inlineStr">
        <is>
          <t>92.58 MB</t>
        </is>
      </c>
      <c r="D21" s="24" t="inlineStr">
        <is>
          <t>435.06 KB</t>
        </is>
      </c>
      <c r="E21" s="24" t="inlineStr">
        <is>
          <t>58.60K</t>
        </is>
      </c>
      <c r="F21" s="24" t="inlineStr">
        <is>
          <t>3.64K</t>
        </is>
      </c>
    </row>
    <row r="22" ht="20" customHeight="1">
      <c r="A22" s="25" t="inlineStr">
        <is>
          <t>FLY91-Website-testing</t>
        </is>
      </c>
      <c r="B22" s="25" t="inlineStr">
        <is>
          <t>i-0d0653d04b9306f42</t>
        </is>
      </c>
      <c r="C22" s="25" t="inlineStr">
        <is>
          <t>-</t>
        </is>
      </c>
      <c r="D22" s="25" t="inlineStr">
        <is>
          <t>-</t>
        </is>
      </c>
      <c r="E22" s="25" t="inlineStr">
        <is>
          <t>-</t>
        </is>
      </c>
      <c r="F22" s="25" t="inlineStr">
        <is>
          <t>-</t>
        </is>
      </c>
    </row>
    <row r="23" ht="20" customHeight="1">
      <c r="A23" s="24" t="inlineStr">
        <is>
          <t>Fly91-Development-Server-Windows</t>
        </is>
      </c>
      <c r="B23" s="24" t="inlineStr">
        <is>
          <t>i-00a0097da058e39a1</t>
        </is>
      </c>
      <c r="C23" s="24" t="inlineStr">
        <is>
          <t>66.84 MB</t>
        </is>
      </c>
      <c r="D23" s="24" t="inlineStr">
        <is>
          <t>11.36 MB</t>
        </is>
      </c>
      <c r="E23" s="24" t="inlineStr">
        <is>
          <t>42.44K</t>
        </is>
      </c>
      <c r="F23" s="24" t="inlineStr">
        <is>
          <t>16.41K</t>
        </is>
      </c>
    </row>
    <row r="24" ht="20" customHeight="1">
      <c r="A24" s="25" t="inlineStr">
        <is>
          <t>Fly91-Development-Server-Ubuntu</t>
        </is>
      </c>
      <c r="B24" s="25" t="inlineStr">
        <is>
          <t>i-0233bf5f2a51870df</t>
        </is>
      </c>
      <c r="C24" s="25" t="inlineStr">
        <is>
          <t>195.71 MB</t>
        </is>
      </c>
      <c r="D24" s="25" t="inlineStr">
        <is>
          <t>147.96 MB</t>
        </is>
      </c>
      <c r="E24" s="25" t="inlineStr">
        <is>
          <t>136.22K</t>
        </is>
      </c>
      <c r="F24" s="25" t="inlineStr">
        <is>
          <t>97.71K</t>
        </is>
      </c>
    </row>
    <row r="25" ht="20" customHeight="1">
      <c r="A25" s="24" t="inlineStr">
        <is>
          <t>FLY91 - Data Science Production</t>
        </is>
      </c>
      <c r="B25" s="24" t="inlineStr">
        <is>
          <t>i-08b66727cdf8d5896</t>
        </is>
      </c>
      <c r="C25" s="24" t="inlineStr">
        <is>
          <t>114.54 MB</t>
        </is>
      </c>
      <c r="D25" s="24" t="inlineStr">
        <is>
          <t>50.67 MB</t>
        </is>
      </c>
      <c r="E25" s="24" t="inlineStr">
        <is>
          <t>75.59K</t>
        </is>
      </c>
      <c r="F25" s="24" t="inlineStr">
        <is>
          <t>33.80K</t>
        </is>
      </c>
    </row>
  </sheetData>
  <autoFilter ref="A4:H25"/>
  <mergeCells count="3">
    <mergeCell ref="A15:H15"/>
    <mergeCell ref="A3:H3"/>
    <mergeCell ref="A1:H1"/>
  </mergeCells>
  <conditionalFormatting sqref="D5:D13">
    <cfRule type="cellIs" priority="1" operator="greaterThanOrEqual" dxfId="0">
      <formula>90</formula>
    </cfRule>
    <cfRule type="cellIs" priority="2" operator="between" dxfId="1">
      <formula>70</formula>
      <formula>89.99</formula>
    </cfRule>
    <cfRule type="cellIs" priority="3" operator="lessThan" dxfId="2">
      <formula>70</formula>
    </cfRule>
  </conditionalFormatting>
  <conditionalFormatting sqref="E5:E13">
    <cfRule type="cellIs" priority="4" operator="greaterThanOrEqual" dxfId="0">
      <formula>90</formula>
    </cfRule>
    <cfRule type="cellIs" priority="5" operator="between" dxfId="1">
      <formula>70</formula>
      <formula>89.99</formula>
    </cfRule>
    <cfRule type="cellIs" priority="6" operator="lessThan" dxfId="2">
      <formula>70</formula>
    </cfRule>
  </conditionalFormatting>
  <conditionalFormatting sqref="F5:F13">
    <cfRule type="cellIs" priority="7" operator="greaterThanOrEqual" dxfId="0">
      <formula>90</formula>
    </cfRule>
    <cfRule type="cellIs" priority="8" operator="between" dxfId="1">
      <formula>70</formula>
      <formula>89.99</formula>
    </cfRule>
    <cfRule type="cellIs" priority="9" operator="lessThan" dxfId="2">
      <formula>70</formula>
    </cfRule>
  </conditionalFormatting>
  <conditionalFormatting sqref="G5:G13">
    <cfRule type="cellIs" priority="10" operator="greaterThanOrEqual" dxfId="0">
      <formula>90</formula>
    </cfRule>
    <cfRule type="cellIs" priority="11" operator="between" dxfId="1">
      <formula>75</formula>
      <formula>89.99</formula>
    </cfRule>
    <cfRule type="cellIs" priority="12" operator="lessThan" dxfId="2">
      <formula>75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26" customWidth="1" min="3" max="3"/>
    <col width="23" customWidth="1" min="4" max="4"/>
    <col width="40" customWidth="1" min="5" max="5"/>
    <col width="22" customWidth="1" min="6" max="6"/>
    <col width="18" customWidth="1" min="7" max="7"/>
    <col width="23" customWidth="1" min="8" max="8"/>
  </cols>
  <sheetData>
    <row r="1" ht="40" customHeight="1">
      <c r="A1" s="8" t="inlineStr">
        <is>
          <t>Application Load Balancers</t>
        </is>
      </c>
    </row>
    <row r="2"/>
    <row r="3" ht="28" customHeight="1">
      <c r="A3" s="9" t="inlineStr">
        <is>
          <t>ALB Performance Metrics</t>
        </is>
      </c>
    </row>
    <row r="4" ht="24" customHeight="1">
      <c r="A4" s="13" t="inlineStr">
        <is>
          <t>ALB Name</t>
        </is>
      </c>
      <c r="B4" s="13" t="inlineStr">
        <is>
          <t>Requests</t>
        </is>
      </c>
      <c r="C4" s="13" t="inlineStr">
        <is>
          <t>Active connection count</t>
        </is>
      </c>
      <c r="D4" s="13" t="inlineStr">
        <is>
          <t>New connection count</t>
        </is>
      </c>
      <c r="E4" s="13" t="inlineStr">
        <is>
          <t>Consumed Load Balancer Capacity Units</t>
        </is>
      </c>
      <c r="F4" s="13" t="inlineStr">
        <is>
          <t>HTTP redirect count</t>
        </is>
      </c>
      <c r="G4" s="13" t="inlineStr">
        <is>
          <t>Processed Bytes</t>
        </is>
      </c>
      <c r="H4" s="13" t="inlineStr">
        <is>
          <t>Target Response Time</t>
        </is>
      </c>
    </row>
    <row r="5" ht="20" customHeight="1">
      <c r="A5" s="24" t="inlineStr">
        <is>
          <t>Stage-Fly91-ALB</t>
        </is>
      </c>
      <c r="B5" s="24" t="inlineStr">
        <is>
          <t>1.12K</t>
        </is>
      </c>
      <c r="C5" s="24" t="inlineStr">
        <is>
          <t>2.24K</t>
        </is>
      </c>
      <c r="D5" s="24" t="inlineStr">
        <is>
          <t>1.60K</t>
        </is>
      </c>
      <c r="E5" s="24" t="n">
        <v>2.41</v>
      </c>
      <c r="F5" s="24" t="inlineStr">
        <is>
          <t>30</t>
        </is>
      </c>
      <c r="G5" s="24" t="inlineStr">
        <is>
          <t>2.59 GB</t>
        </is>
      </c>
      <c r="H5" s="24" t="inlineStr">
        <is>
          <t>1.109 s</t>
        </is>
      </c>
    </row>
    <row r="6" ht="20" customHeight="1">
      <c r="A6" s="25" t="inlineStr">
        <is>
          <t>Prod-Fly91-ALB</t>
        </is>
      </c>
      <c r="B6" s="25" t="inlineStr">
        <is>
          <t>25.00K</t>
        </is>
      </c>
      <c r="C6" s="25" t="inlineStr">
        <is>
          <t>4.36K</t>
        </is>
      </c>
      <c r="D6" s="25" t="inlineStr">
        <is>
          <t>8.56K</t>
        </is>
      </c>
      <c r="E6" s="25" t="n">
        <v>3.08</v>
      </c>
      <c r="F6" s="25" t="inlineStr">
        <is>
          <t>218</t>
        </is>
      </c>
      <c r="G6" s="25" t="inlineStr">
        <is>
          <t>3.31 GB</t>
        </is>
      </c>
      <c r="H6" s="25" t="inlineStr">
        <is>
          <t>322.8 ms</t>
        </is>
      </c>
    </row>
    <row r="7" ht="20" customHeight="1">
      <c r="A7" s="24" t="inlineStr">
        <is>
          <t>Fly91-Development-ALB</t>
        </is>
      </c>
      <c r="B7" s="24" t="inlineStr">
        <is>
          <t>2.34K</t>
        </is>
      </c>
      <c r="C7" s="24" t="inlineStr">
        <is>
          <t>843</t>
        </is>
      </c>
      <c r="D7" s="24" t="inlineStr">
        <is>
          <t>3.37K</t>
        </is>
      </c>
      <c r="E7" s="24" t="n">
        <v>0.04</v>
      </c>
      <c r="F7" s="24" t="inlineStr">
        <is>
          <t>2.09K</t>
        </is>
      </c>
      <c r="G7" s="24" t="inlineStr">
        <is>
          <t>18.56 MB</t>
        </is>
      </c>
      <c r="H7" s="24" t="inlineStr">
        <is>
          <t>274.7 ms</t>
        </is>
      </c>
    </row>
  </sheetData>
  <autoFilter ref="A4:H7"/>
  <mergeCells count="2"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2060"/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</cols>
  <sheetData>
    <row r="1" ht="40" customHeight="1">
      <c r="A1" s="8" t="inlineStr">
        <is>
          <t>AWS WAF Summary</t>
        </is>
      </c>
    </row>
    <row r="2"/>
    <row r="3" ht="28" customHeight="1">
      <c r="A3" s="9" t="inlineStr">
        <is>
          <t>Web ACL Request Metrics</t>
        </is>
      </c>
    </row>
    <row r="4" ht="24" customHeight="1">
      <c r="A4" s="13" t="inlineStr">
        <is>
          <t>WAF Name</t>
        </is>
      </c>
      <c r="B4" s="13" t="inlineStr">
        <is>
          <t>Total Request</t>
        </is>
      </c>
      <c r="C4" s="13" t="inlineStr">
        <is>
          <t>Blocked Request</t>
        </is>
      </c>
      <c r="D4" s="13" t="inlineStr">
        <is>
          <t>Allowed Request</t>
        </is>
      </c>
    </row>
    <row r="5" ht="20" customHeight="1">
      <c r="A5" s="24" t="inlineStr">
        <is>
          <t>Prod-WAF-Fly-91</t>
        </is>
      </c>
      <c r="B5" s="24" t="inlineStr">
        <is>
          <t>9.15M</t>
        </is>
      </c>
      <c r="C5" s="28" t="inlineStr">
        <is>
          <t>88.72K</t>
        </is>
      </c>
      <c r="D5" s="24" t="inlineStr">
        <is>
          <t>9.06M</t>
        </is>
      </c>
    </row>
    <row r="6" ht="20" customHeight="1">
      <c r="A6" s="25" t="inlineStr">
        <is>
          <t>Stag-WAF-Fly-91</t>
        </is>
      </c>
      <c r="B6" s="25" t="inlineStr">
        <is>
          <t>246.45K</t>
        </is>
      </c>
      <c r="C6" s="28" t="inlineStr">
        <is>
          <t>5.04K</t>
        </is>
      </c>
      <c r="D6" s="25" t="inlineStr">
        <is>
          <t>241.41K</t>
        </is>
      </c>
    </row>
    <row r="7"/>
    <row r="8">
      <c r="A8" s="29" t="inlineStr">
        <is>
          <t>TOTAL</t>
        </is>
      </c>
      <c r="B8" s="27" t="inlineStr">
        <is>
          <t>9.40M</t>
        </is>
      </c>
      <c r="C8" s="27" t="inlineStr">
        <is>
          <t>93.76K</t>
        </is>
      </c>
      <c r="D8" s="27" t="inlineStr">
        <is>
          <t>9.30M</t>
        </is>
      </c>
    </row>
  </sheetData>
  <autoFilter ref="A4:D8"/>
  <mergeCells count="2">
    <mergeCell ref="A1:D1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2060"/>
    <outlinePr summaryBelow="1" summaryRight="1"/>
    <pageSetUpPr/>
  </sheetPr>
  <dimension ref="A1:G3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45" customWidth="1" min="3" max="3"/>
    <col width="24" customWidth="1" min="4" max="4"/>
    <col width="17" customWidth="1" min="5" max="5"/>
    <col width="17" customWidth="1" min="6" max="6"/>
    <col width="12" customWidth="1" min="7" max="7"/>
  </cols>
  <sheetData>
    <row r="1" ht="40" customHeight="1">
      <c r="A1" s="8" t="inlineStr">
        <is>
          <t>Amazon Inspector - Findings (One Week)</t>
        </is>
      </c>
    </row>
    <row r="2"/>
    <row r="3" ht="28" customHeight="1">
      <c r="A3" s="9" t="inlineStr">
        <is>
          <t>Reporting Period: 2026-09-14 to 2026-09-20</t>
        </is>
      </c>
    </row>
    <row r="4"/>
    <row r="5" ht="28" customHeight="1">
      <c r="A5" s="9" t="inlineStr">
        <is>
          <t>Severity Summary</t>
        </is>
      </c>
    </row>
    <row r="6" ht="24" customHeight="1">
      <c r="A6" s="13" t="inlineStr">
        <is>
          <t>Severity</t>
        </is>
      </c>
      <c r="B6" s="13" t="inlineStr">
        <is>
          <t>Count</t>
        </is>
      </c>
    </row>
    <row r="7">
      <c r="A7" s="19" t="inlineStr">
        <is>
          <t>Critical</t>
        </is>
      </c>
      <c r="B7" s="19" t="n">
        <v>39</v>
      </c>
    </row>
    <row r="8">
      <c r="A8" s="19" t="inlineStr">
        <is>
          <t>High</t>
        </is>
      </c>
      <c r="B8" s="19" t="n">
        <v>200</v>
      </c>
    </row>
    <row r="9">
      <c r="A9" s="28" t="inlineStr">
        <is>
          <t>Medium</t>
        </is>
      </c>
      <c r="B9" s="28" t="n">
        <v>200</v>
      </c>
    </row>
    <row r="10">
      <c r="A10" s="15" t="inlineStr">
        <is>
          <t>Low</t>
        </is>
      </c>
      <c r="B10" s="15" t="n">
        <v>15</v>
      </c>
    </row>
    <row r="11">
      <c r="A11" s="15" t="inlineStr">
        <is>
          <t>Informational</t>
        </is>
      </c>
      <c r="B11" s="15" t="n">
        <v>0</v>
      </c>
    </row>
    <row r="12">
      <c r="A12" s="27" t="inlineStr">
        <is>
          <t>TOTAL</t>
        </is>
      </c>
      <c r="B12" s="27" t="n">
        <v>464</v>
      </c>
    </row>
    <row r="13"/>
    <row r="14" ht="28" customHeight="1">
      <c r="A14" s="9" t="inlineStr">
        <is>
          <t>Detailed Findings</t>
        </is>
      </c>
    </row>
    <row r="15" ht="24" customHeight="1">
      <c r="A15" s="13" t="inlineStr">
        <is>
          <t>Title</t>
        </is>
      </c>
      <c r="B15" s="13" t="inlineStr">
        <is>
          <t>Severity</t>
        </is>
      </c>
      <c r="C15" s="13" t="inlineStr">
        <is>
          <t>Resource</t>
        </is>
      </c>
      <c r="D15" s="13" t="inlineStr">
        <is>
          <t>Finding Type</t>
        </is>
      </c>
      <c r="E15" s="13" t="inlineStr">
        <is>
          <t>CVE</t>
        </is>
      </c>
      <c r="F15" s="13" t="inlineStr">
        <is>
          <t>First Observed</t>
        </is>
      </c>
      <c r="G15" s="13" t="inlineStr">
        <is>
          <t>Status</t>
        </is>
      </c>
    </row>
    <row r="16" ht="20" customHeight="1">
      <c r="A16" s="24" t="inlineStr">
        <is>
          <t>CVE-2024-3094 - xz-utils backdoor (liblzma)</t>
        </is>
      </c>
      <c r="B16" s="19" t="inlineStr">
        <is>
          <t>Critical</t>
        </is>
      </c>
      <c r="C16" s="24" t="inlineStr">
        <is>
          <t>InSync Nexus Server (i-09a1b5ff52381b04b)</t>
        </is>
      </c>
      <c r="D16" s="24" t="inlineStr">
        <is>
          <t>PACKAGE_VULNERABILITY</t>
        </is>
      </c>
      <c r="E16" s="24" t="inlineStr">
        <is>
          <t>CVE-2024-3094</t>
        </is>
      </c>
      <c r="F16" s="24" t="inlineStr">
        <is>
          <t>2026-09-14</t>
        </is>
      </c>
      <c r="G16" s="24" t="inlineStr">
        <is>
          <t>ACTIVE</t>
        </is>
      </c>
    </row>
    <row r="17" ht="20" customHeight="1">
      <c r="A17" s="25" t="inlineStr">
        <is>
          <t>CVE-2021-44228 - Apache Log4j2 RCE (Log4Shell)</t>
        </is>
      </c>
      <c r="B17" s="19" t="inlineStr">
        <is>
          <t>Critical</t>
        </is>
      </c>
      <c r="C17" s="25" t="inlineStr">
        <is>
          <t>ISTARI-DB Server (i-0bc7cb7733cccd23b)</t>
        </is>
      </c>
      <c r="D17" s="25" t="inlineStr">
        <is>
          <t>PACKAGE_VULNERABILITY</t>
        </is>
      </c>
      <c r="E17" s="25" t="inlineStr">
        <is>
          <t>CVE-2021-44228</t>
        </is>
      </c>
      <c r="F17" s="25" t="inlineStr">
        <is>
          <t>2026-09-14</t>
        </is>
      </c>
      <c r="G17" s="25" t="inlineStr">
        <is>
          <t>ACTIVE</t>
        </is>
      </c>
    </row>
    <row r="18" ht="20" customHeight="1">
      <c r="A18" s="24" t="inlineStr">
        <is>
          <t>CVE-2024-6387 - OpenSSH regreSSHion RCE</t>
        </is>
      </c>
      <c r="B18" s="19" t="inlineStr">
        <is>
          <t>High</t>
        </is>
      </c>
      <c r="C18" s="24" t="inlineStr">
        <is>
          <t>InSync ClickHouse-Database (i-029867634022c4d78)</t>
        </is>
      </c>
      <c r="D18" s="24" t="inlineStr">
        <is>
          <t>PACKAGE_VULNERABILITY</t>
        </is>
      </c>
      <c r="E18" s="24" t="inlineStr">
        <is>
          <t>CVE-2024-6387</t>
        </is>
      </c>
      <c r="F18" s="24" t="inlineStr">
        <is>
          <t>2026-09-15</t>
        </is>
      </c>
      <c r="G18" s="24" t="inlineStr">
        <is>
          <t>ACTIVE</t>
        </is>
      </c>
    </row>
    <row r="19" ht="20" customHeight="1">
      <c r="A19" s="25" t="inlineStr">
        <is>
          <t>CVE-2023-4911 - glibc Looney Tunables privilege escalation</t>
        </is>
      </c>
      <c r="B19" s="19" t="inlineStr">
        <is>
          <t>High</t>
        </is>
      </c>
      <c r="C19" s="25" t="inlineStr">
        <is>
          <t>InSync Nexus Server (i-09a1b5ff52381b04b)</t>
        </is>
      </c>
      <c r="D19" s="25" t="inlineStr">
        <is>
          <t>PACKAGE_VULNERABILITY</t>
        </is>
      </c>
      <c r="E19" s="25" t="inlineStr">
        <is>
          <t>CVE-2023-4911</t>
        </is>
      </c>
      <c r="F19" s="25" t="inlineStr">
        <is>
          <t>2026-09-15</t>
        </is>
      </c>
      <c r="G19" s="25" t="inlineStr">
        <is>
          <t>ACTIVE</t>
        </is>
      </c>
    </row>
    <row r="20" ht="20" customHeight="1">
      <c r="A20" s="24" t="inlineStr">
        <is>
          <t>CVE-2022-0778 - OpenSSL infinite loop DoS</t>
        </is>
      </c>
      <c r="B20" s="19" t="inlineStr">
        <is>
          <t>High</t>
        </is>
      </c>
      <c r="C20" s="24" t="inlineStr">
        <is>
          <t>InSync Website Server (i-0a8f07365bce735f6)</t>
        </is>
      </c>
      <c r="D20" s="24" t="inlineStr">
        <is>
          <t>PACKAGE_VULNERABILITY</t>
        </is>
      </c>
      <c r="E20" s="24" t="inlineStr">
        <is>
          <t>CVE-2022-0778</t>
        </is>
      </c>
      <c r="F20" s="24" t="inlineStr">
        <is>
          <t>2026-09-16</t>
        </is>
      </c>
      <c r="G20" s="24" t="inlineStr">
        <is>
          <t>ACTIVE</t>
        </is>
      </c>
    </row>
    <row r="21" ht="20" customHeight="1">
      <c r="A21" s="25" t="inlineStr">
        <is>
          <t>CVE-2023-38545 - curl SOCKS5 heap buffer overflow</t>
        </is>
      </c>
      <c r="B21" s="19" t="inlineStr">
        <is>
          <t>High</t>
        </is>
      </c>
      <c r="C21" s="25" t="inlineStr">
        <is>
          <t>InSync Weave-Server (i-05966c44f5be655cc)</t>
        </is>
      </c>
      <c r="D21" s="25" t="inlineStr">
        <is>
          <t>PACKAGE_VULNERABILITY</t>
        </is>
      </c>
      <c r="E21" s="25" t="inlineStr">
        <is>
          <t>CVE-2023-38545</t>
        </is>
      </c>
      <c r="F21" s="25" t="inlineStr">
        <is>
          <t>2026-09-16</t>
        </is>
      </c>
      <c r="G21" s="25" t="inlineStr">
        <is>
          <t>ACTIVE</t>
        </is>
      </c>
    </row>
    <row r="22" ht="20" customHeight="1">
      <c r="A22" s="24" t="inlineStr">
        <is>
          <t>CVE-2024-1086 - Linux kernel nf_tables use-after-free</t>
        </is>
      </c>
      <c r="B22" s="19" t="inlineStr">
        <is>
          <t>High</t>
        </is>
      </c>
      <c r="C22" s="24" t="inlineStr">
        <is>
          <t>InSync-Pipelines Server (i-08b99bf46815a7d38)</t>
        </is>
      </c>
      <c r="D22" s="24" t="inlineStr">
        <is>
          <t>PACKAGE_VULNERABILITY</t>
        </is>
      </c>
      <c r="E22" s="24" t="inlineStr">
        <is>
          <t>CVE-2024-1086</t>
        </is>
      </c>
      <c r="F22" s="24" t="inlineStr">
        <is>
          <t>2026-09-17</t>
        </is>
      </c>
      <c r="G22" s="24" t="inlineStr">
        <is>
          <t>ACTIVE</t>
        </is>
      </c>
    </row>
    <row r="23" ht="20" customHeight="1">
      <c r="A23" s="25" t="inlineStr">
        <is>
          <t>CVE-2023-44487 - HTTP/2 Rapid Reset DoS</t>
        </is>
      </c>
      <c r="B23" s="19" t="inlineStr">
        <is>
          <t>High</t>
        </is>
      </c>
      <c r="C23" s="25" t="inlineStr">
        <is>
          <t>InSync Add-in Server (i-07c0fb23505c71dd8)</t>
        </is>
      </c>
      <c r="D23" s="25" t="inlineStr">
        <is>
          <t>PACKAGE_VULNERABILITY</t>
        </is>
      </c>
      <c r="E23" s="25" t="inlineStr">
        <is>
          <t>CVE-2023-44487</t>
        </is>
      </c>
      <c r="F23" s="25" t="inlineStr">
        <is>
          <t>2026-09-17</t>
        </is>
      </c>
      <c r="G23" s="25" t="inlineStr">
        <is>
          <t>ACTIVE</t>
        </is>
      </c>
    </row>
    <row r="24" ht="20" customHeight="1">
      <c r="A24" s="24" t="inlineStr">
        <is>
          <t>CVE-2023-29491 - ncurses local privilege escalation</t>
        </is>
      </c>
      <c r="B24" s="28" t="inlineStr">
        <is>
          <t>Medium</t>
        </is>
      </c>
      <c r="C24" s="24" t="inlineStr">
        <is>
          <t>ISTARI-DB Server (i-0bc7cb7733cccd23b)</t>
        </is>
      </c>
      <c r="D24" s="24" t="inlineStr">
        <is>
          <t>PACKAGE_VULNERABILITY</t>
        </is>
      </c>
      <c r="E24" s="24" t="inlineStr">
        <is>
          <t>CVE-2023-29491</t>
        </is>
      </c>
      <c r="F24" s="24" t="inlineStr">
        <is>
          <t>2026-09-15</t>
        </is>
      </c>
      <c r="G24" s="24" t="inlineStr">
        <is>
          <t>ACTIVE</t>
        </is>
      </c>
    </row>
    <row r="25" ht="20" customHeight="1">
      <c r="A25" s="25" t="inlineStr">
        <is>
          <t>CVE-2022-37434 - zlib heap buffer over-read</t>
        </is>
      </c>
      <c r="B25" s="28" t="inlineStr">
        <is>
          <t>Medium</t>
        </is>
      </c>
      <c r="C25" s="25" t="inlineStr">
        <is>
          <t>InSync ClickHouse-Database (i-029867634022c4d78)</t>
        </is>
      </c>
      <c r="D25" s="25" t="inlineStr">
        <is>
          <t>PACKAGE_VULNERABILITY</t>
        </is>
      </c>
      <c r="E25" s="25" t="inlineStr">
        <is>
          <t>CVE-2022-37434</t>
        </is>
      </c>
      <c r="F25" s="25" t="inlineStr">
        <is>
          <t>2026-09-16</t>
        </is>
      </c>
      <c r="G25" s="25" t="inlineStr">
        <is>
          <t>ACTIVE</t>
        </is>
      </c>
    </row>
    <row r="26" ht="20" customHeight="1">
      <c r="A26" s="24" t="inlineStr">
        <is>
          <t>CVE-2023-0286 - OpenSSL X.400 type confusion</t>
        </is>
      </c>
      <c r="B26" s="28" t="inlineStr">
        <is>
          <t>Medium</t>
        </is>
      </c>
      <c r="C26" s="24" t="inlineStr">
        <is>
          <t>InSync Nexus Server (i-09a1b5ff52381b04b)</t>
        </is>
      </c>
      <c r="D26" s="24" t="inlineStr">
        <is>
          <t>PACKAGE_VULNERABILITY</t>
        </is>
      </c>
      <c r="E26" s="24" t="inlineStr">
        <is>
          <t>CVE-2023-0286</t>
        </is>
      </c>
      <c r="F26" s="24" t="inlineStr">
        <is>
          <t>2026-09-16</t>
        </is>
      </c>
      <c r="G26" s="24" t="inlineStr">
        <is>
          <t>ACTIVE</t>
        </is>
      </c>
    </row>
    <row r="27" ht="20" customHeight="1">
      <c r="A27" s="25" t="inlineStr">
        <is>
          <t>CVE-2023-27536 - curl GSSAPI credential reuse</t>
        </is>
      </c>
      <c r="B27" s="28" t="inlineStr">
        <is>
          <t>Medium</t>
        </is>
      </c>
      <c r="C27" s="25" t="inlineStr">
        <is>
          <t>InSync Website Server (i-0a8f07365bce735f6)</t>
        </is>
      </c>
      <c r="D27" s="25" t="inlineStr">
        <is>
          <t>PACKAGE_VULNERABILITY</t>
        </is>
      </c>
      <c r="E27" s="25" t="inlineStr">
        <is>
          <t>CVE-2023-27536</t>
        </is>
      </c>
      <c r="F27" s="25" t="inlineStr">
        <is>
          <t>2026-09-17</t>
        </is>
      </c>
      <c r="G27" s="25" t="inlineStr">
        <is>
          <t>ACTIVE</t>
        </is>
      </c>
    </row>
    <row r="28" ht="20" customHeight="1">
      <c r="A28" s="24" t="inlineStr">
        <is>
          <t>CVE-2022-40674 - expat use-after-free</t>
        </is>
      </c>
      <c r="B28" s="28" t="inlineStr">
        <is>
          <t>Medium</t>
        </is>
      </c>
      <c r="C28" s="24" t="inlineStr">
        <is>
          <t>InSync Weave-Server (i-05966c44f5be655cc)</t>
        </is>
      </c>
      <c r="D28" s="24" t="inlineStr">
        <is>
          <t>PACKAGE_VULNERABILITY</t>
        </is>
      </c>
      <c r="E28" s="24" t="inlineStr">
        <is>
          <t>CVE-2022-40674</t>
        </is>
      </c>
      <c r="F28" s="24" t="inlineStr">
        <is>
          <t>2026-09-18</t>
        </is>
      </c>
      <c r="G28" s="24" t="inlineStr">
        <is>
          <t>ACTIVE</t>
        </is>
      </c>
    </row>
    <row r="29" ht="20" customHeight="1">
      <c r="A29" s="25" t="inlineStr">
        <is>
          <t>CVE-2021-3711 - OpenSSL SM2 decryption buffer overflow</t>
        </is>
      </c>
      <c r="B29" s="28" t="inlineStr">
        <is>
          <t>Medium</t>
        </is>
      </c>
      <c r="C29" s="25" t="inlineStr">
        <is>
          <t>InSync-Pipelines Server (i-08b99bf46815a7d38)</t>
        </is>
      </c>
      <c r="D29" s="25" t="inlineStr">
        <is>
          <t>PACKAGE_VULNERABILITY</t>
        </is>
      </c>
      <c r="E29" s="25" t="inlineStr">
        <is>
          <t>CVE-2021-3711</t>
        </is>
      </c>
      <c r="F29" s="25" t="inlineStr">
        <is>
          <t>2026-09-18</t>
        </is>
      </c>
      <c r="G29" s="25" t="inlineStr">
        <is>
          <t>ACTIVE</t>
        </is>
      </c>
    </row>
    <row r="30" ht="20" customHeight="1">
      <c r="A30" s="24" t="inlineStr">
        <is>
          <t>CVE-2022-3602 - OpenSSL X.509 punycode buffer overflow</t>
        </is>
      </c>
      <c r="B30" s="28" t="inlineStr">
        <is>
          <t>Medium</t>
        </is>
      </c>
      <c r="C30" s="24" t="inlineStr">
        <is>
          <t>ISTARI-App-Server-ASG (i-06559919372821d45)</t>
        </is>
      </c>
      <c r="D30" s="24" t="inlineStr">
        <is>
          <t>PACKAGE_VULNERABILITY</t>
        </is>
      </c>
      <c r="E30" s="24" t="inlineStr">
        <is>
          <t>CVE-2022-3602</t>
        </is>
      </c>
      <c r="F30" s="24" t="inlineStr">
        <is>
          <t>2026-09-19</t>
        </is>
      </c>
      <c r="G30" s="24" t="inlineStr">
        <is>
          <t>ACTIVE</t>
        </is>
      </c>
    </row>
    <row r="31" ht="20" customHeight="1">
      <c r="A31" s="25" t="inlineStr">
        <is>
          <t>CVE-2023-2650 - OpenSSL OBJECT IDENTIFIER DoS</t>
        </is>
      </c>
      <c r="B31" s="15" t="inlineStr">
        <is>
          <t>Low</t>
        </is>
      </c>
      <c r="C31" s="25" t="inlineStr">
        <is>
          <t>InSync Add-in Server (i-07c0fb23505c71dd8)</t>
        </is>
      </c>
      <c r="D31" s="25" t="inlineStr">
        <is>
          <t>PACKAGE_VULNERABILITY</t>
        </is>
      </c>
      <c r="E31" s="25" t="inlineStr">
        <is>
          <t>CVE-2023-2650</t>
        </is>
      </c>
      <c r="F31" s="25" t="inlineStr">
        <is>
          <t>2026-09-19</t>
        </is>
      </c>
      <c r="G31" s="25" t="inlineStr">
        <is>
          <t>ACTIVE</t>
        </is>
      </c>
    </row>
    <row r="32" ht="20" customHeight="1">
      <c r="A32" s="24" t="inlineStr">
        <is>
          <t>CVE-2022-1292 - OpenSSL c_rehash command injection</t>
        </is>
      </c>
      <c r="B32" s="15" t="inlineStr">
        <is>
          <t>Low</t>
        </is>
      </c>
      <c r="C32" s="24" t="inlineStr">
        <is>
          <t>InSync ClickHouse-Database (i-029867634022c4d78)</t>
        </is>
      </c>
      <c r="D32" s="24" t="inlineStr">
        <is>
          <t>PACKAGE_VULNERABILITY</t>
        </is>
      </c>
      <c r="E32" s="24" t="inlineStr">
        <is>
          <t>CVE-2022-1292</t>
        </is>
      </c>
      <c r="F32" s="24" t="inlineStr">
        <is>
          <t>2026-09-19</t>
        </is>
      </c>
      <c r="G32" s="24" t="inlineStr">
        <is>
          <t>ACTIVE</t>
        </is>
      </c>
    </row>
    <row r="33" ht="20" customHeight="1">
      <c r="A33" s="25" t="inlineStr">
        <is>
          <t>CVE-2021-33560 - libgcrypt ElGamal side-channel</t>
        </is>
      </c>
      <c r="B33" s="15" t="inlineStr">
        <is>
          <t>Low</t>
        </is>
      </c>
      <c r="C33" s="25" t="inlineStr">
        <is>
          <t>ISTARI-DB Server (i-0bc7cb7733cccd23b)</t>
        </is>
      </c>
      <c r="D33" s="25" t="inlineStr">
        <is>
          <t>PACKAGE_VULNERABILITY</t>
        </is>
      </c>
      <c r="E33" s="25" t="inlineStr">
        <is>
          <t>CVE-2021-33560</t>
        </is>
      </c>
      <c r="F33" s="25" t="inlineStr">
        <is>
          <t>2026-09-20</t>
        </is>
      </c>
      <c r="G33" s="25" t="inlineStr">
        <is>
          <t>ACTIVE</t>
        </is>
      </c>
    </row>
    <row r="34" ht="20" customHeight="1">
      <c r="A34" s="24" t="inlineStr">
        <is>
          <t>CVE-2020-1971 - OpenSSL EDIPARTYNAME NULL deref</t>
        </is>
      </c>
      <c r="B34" s="15" t="inlineStr">
        <is>
          <t>Low</t>
        </is>
      </c>
      <c r="C34" s="24" t="inlineStr">
        <is>
          <t>InSync Nexus Server (i-09a1b5ff52381b04b)</t>
        </is>
      </c>
      <c r="D34" s="24" t="inlineStr">
        <is>
          <t>PACKAGE_VULNERABILITY</t>
        </is>
      </c>
      <c r="E34" s="24" t="inlineStr">
        <is>
          <t>CVE-2020-1971</t>
        </is>
      </c>
      <c r="F34" s="24" t="inlineStr">
        <is>
          <t>2026-09-20</t>
        </is>
      </c>
      <c r="G34" s="24" t="inlineStr">
        <is>
          <t>ACTIVE</t>
        </is>
      </c>
    </row>
    <row r="35" ht="20" customHeight="1">
      <c r="A35" s="25" t="inlineStr">
        <is>
          <t>EC2 instance has an outdated SSM Agent</t>
        </is>
      </c>
      <c r="B35" s="15" t="inlineStr">
        <is>
          <t>Informational</t>
        </is>
      </c>
      <c r="C35" s="25" t="inlineStr">
        <is>
          <t>InSync Website Server (i-0a8f07365bce735f6)</t>
        </is>
      </c>
      <c r="D35" s="25" t="inlineStr">
        <is>
          <t>SOFTWARE_PACKAGE</t>
        </is>
      </c>
      <c r="E35" s="25" t="inlineStr">
        <is>
          <t>-</t>
        </is>
      </c>
      <c r="F35" s="25" t="inlineStr">
        <is>
          <t>2026-09-20</t>
        </is>
      </c>
      <c r="G35" s="25" t="inlineStr">
        <is>
          <t>ACTIVE</t>
        </is>
      </c>
    </row>
    <row r="37" ht="28" customHeight="1">
      <c r="A37" s="9" t="inlineStr">
        <is>
          <t>Inspector Console - Findings (Screenshot)</t>
        </is>
      </c>
    </row>
  </sheetData>
  <autoFilter ref="A15:G35"/>
  <mergeCells count="5">
    <mergeCell ref="A14:G14"/>
    <mergeCell ref="A1:G1"/>
    <mergeCell ref="A3:G3"/>
    <mergeCell ref="A5:G5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02060"/>
    <outlinePr summaryBelow="1" summaryRight="1"/>
    <pageSetUpPr/>
  </sheetPr>
  <dimension ref="A1:I2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40" customHeight="1">
      <c r="A1" s="8" t="inlineStr">
        <is>
          <t>Amazon GuardDuty - Findings</t>
        </is>
      </c>
    </row>
    <row r="2"/>
    <row r="3" ht="28" customHeight="1">
      <c r="A3" s="9" t="inlineStr">
        <is>
          <t>Reporting Period: 2026-09-14 to 2026-09-20</t>
        </is>
      </c>
    </row>
    <row r="4"/>
    <row r="5" ht="28" customHeight="1">
      <c r="A5" s="9" t="inlineStr">
        <is>
          <t>Severity Summary</t>
        </is>
      </c>
    </row>
    <row r="6" ht="24" customHeight="1">
      <c r="A6" s="13" t="inlineStr">
        <is>
          <t>Severity</t>
        </is>
      </c>
      <c r="B6" s="13" t="inlineStr">
        <is>
          <t>Count</t>
        </is>
      </c>
    </row>
    <row r="7">
      <c r="A7" s="19" t="inlineStr">
        <is>
          <t>High</t>
        </is>
      </c>
      <c r="B7" s="19" t="n">
        <v>0</v>
      </c>
    </row>
    <row r="8">
      <c r="A8" s="28" t="inlineStr">
        <is>
          <t>Medium</t>
        </is>
      </c>
      <c r="B8" s="28" t="n">
        <v>0</v>
      </c>
    </row>
    <row r="9">
      <c r="A9" s="15" t="inlineStr">
        <is>
          <t>Low</t>
        </is>
      </c>
      <c r="B9" s="15" t="n">
        <v>3</v>
      </c>
    </row>
    <row r="10">
      <c r="A10" s="27" t="inlineStr">
        <is>
          <t>TOTAL</t>
        </is>
      </c>
      <c r="B10" s="27" t="n">
        <v>66</v>
      </c>
    </row>
    <row r="11"/>
    <row r="12" ht="28" customHeight="1">
      <c r="A12" s="9" t="inlineStr">
        <is>
          <t>Detailed Findings</t>
        </is>
      </c>
    </row>
    <row r="13" ht="24" customHeight="1">
      <c r="A13" s="13" t="inlineStr">
        <is>
          <t>Finding Type</t>
        </is>
      </c>
      <c r="B13" s="13" t="inlineStr">
        <is>
          <t>Title</t>
        </is>
      </c>
      <c r="C13" s="13" t="inlineStr">
        <is>
          <t>Severity</t>
        </is>
      </c>
      <c r="D13" s="13" t="inlineStr">
        <is>
          <t>Severity Score</t>
        </is>
      </c>
      <c r="E13" s="13" t="inlineStr">
        <is>
          <t>Resource</t>
        </is>
      </c>
      <c r="F13" s="13" t="inlineStr">
        <is>
          <t>Region</t>
        </is>
      </c>
      <c r="G13" s="13" t="inlineStr">
        <is>
          <t>Count</t>
        </is>
      </c>
      <c r="H13" s="13" t="inlineStr">
        <is>
          <t>First Seen</t>
        </is>
      </c>
      <c r="I13" s="13" t="inlineStr">
        <is>
          <t>Last Seen</t>
        </is>
      </c>
    </row>
    <row r="14" ht="20" customHeight="1">
      <c r="A14" s="24" t="inlineStr">
        <is>
          <t>CryptoCurrency:EC2/BitcoinTool.B!DNS</t>
        </is>
      </c>
      <c r="B14" s="24" t="inlineStr">
        <is>
          <t>Bitcoin-related domain name queried by i-09a1b5ff52381b04b</t>
        </is>
      </c>
      <c r="C14" s="19" t="inlineStr">
        <is>
          <t>High</t>
        </is>
      </c>
      <c r="D14" s="24" t="n">
        <v>8</v>
      </c>
      <c r="E14" s="24" t="inlineStr">
        <is>
          <t>Instance</t>
        </is>
      </c>
      <c r="F14" s="24" t="inlineStr">
        <is>
          <t>us-east-1</t>
        </is>
      </c>
      <c r="G14" s="24" t="n">
        <v>12</v>
      </c>
      <c r="H14" s="24" t="inlineStr">
        <is>
          <t>2026-09-14</t>
        </is>
      </c>
      <c r="I14" s="24" t="inlineStr">
        <is>
          <t>2026-09-16</t>
        </is>
      </c>
    </row>
    <row r="15" ht="20" customHeight="1">
      <c r="A15" s="25" t="inlineStr">
        <is>
          <t>UnauthorizedAccess:EC2/SSHBruteForce</t>
        </is>
      </c>
      <c r="B15" s="25" t="inlineStr">
        <is>
          <t>EC2 instance i-0bc7cb7733cccd23b is the target of SSH brute force attacks</t>
        </is>
      </c>
      <c r="C15" s="19" t="inlineStr">
        <is>
          <t>High</t>
        </is>
      </c>
      <c r="D15" s="25" t="n">
        <v>7.5</v>
      </c>
      <c r="E15" s="25" t="inlineStr">
        <is>
          <t>Instance</t>
        </is>
      </c>
      <c r="F15" s="25" t="inlineStr">
        <is>
          <t>us-east-1</t>
        </is>
      </c>
      <c r="G15" s="25" t="n">
        <v>48</v>
      </c>
      <c r="H15" s="25" t="inlineStr">
        <is>
          <t>2026-09-14</t>
        </is>
      </c>
      <c r="I15" s="25" t="inlineStr">
        <is>
          <t>2026-09-19</t>
        </is>
      </c>
    </row>
    <row r="16" ht="20" customHeight="1">
      <c r="A16" s="24" t="inlineStr">
        <is>
          <t>Backdoor:EC2/C&amp;CActivity.B!DNS</t>
        </is>
      </c>
      <c r="B16" s="24" t="inlineStr">
        <is>
          <t>EC2 instance i-029867634022c4d78 is communicating with a known malware command and control server</t>
        </is>
      </c>
      <c r="C16" s="19" t="inlineStr">
        <is>
          <t>High</t>
        </is>
      </c>
      <c r="D16" s="24" t="n">
        <v>7.2</v>
      </c>
      <c r="E16" s="24" t="inlineStr">
        <is>
          <t>Instance</t>
        </is>
      </c>
      <c r="F16" s="24" t="inlineStr">
        <is>
          <t>us-east-1</t>
        </is>
      </c>
      <c r="G16" s="24" t="n">
        <v>6</v>
      </c>
      <c r="H16" s="24" t="inlineStr">
        <is>
          <t>2026-09-15</t>
        </is>
      </c>
      <c r="I16" s="24" t="inlineStr">
        <is>
          <t>2026-09-17</t>
        </is>
      </c>
    </row>
    <row r="17" ht="20" customHeight="1">
      <c r="A17" s="25" t="inlineStr">
        <is>
          <t>Recon:EC2/PortProbeUnprotectedPort</t>
        </is>
      </c>
      <c r="B17" s="25" t="inlineStr">
        <is>
          <t>Unprotected port on EC2 instance i-07c0fb23505c71dd8 is being probed</t>
        </is>
      </c>
      <c r="C17" s="28" t="inlineStr">
        <is>
          <t>Medium</t>
        </is>
      </c>
      <c r="D17" s="25" t="n">
        <v>5</v>
      </c>
      <c r="E17" s="25" t="inlineStr">
        <is>
          <t>Instance</t>
        </is>
      </c>
      <c r="F17" s="25" t="inlineStr">
        <is>
          <t>us-east-1</t>
        </is>
      </c>
      <c r="G17" s="25" t="n">
        <v>23</v>
      </c>
      <c r="H17" s="25" t="inlineStr">
        <is>
          <t>2026-09-15</t>
        </is>
      </c>
      <c r="I17" s="25" t="inlineStr">
        <is>
          <t>2026-09-18</t>
        </is>
      </c>
    </row>
    <row r="18" ht="20" customHeight="1">
      <c r="A18" s="24" t="inlineStr">
        <is>
          <t>UnauthorizedAccess:IAMUser/TorIPCaller</t>
        </is>
      </c>
      <c r="B18" s="24" t="inlineStr">
        <is>
          <t>API GeneratedFindingAPIName was invoked from a Tor exit node</t>
        </is>
      </c>
      <c r="C18" s="28" t="inlineStr">
        <is>
          <t>Medium</t>
        </is>
      </c>
      <c r="D18" s="24" t="n">
        <v>5.5</v>
      </c>
      <c r="E18" s="24" t="inlineStr">
        <is>
          <t>AccessKey</t>
        </is>
      </c>
      <c r="F18" s="24" t="inlineStr">
        <is>
          <t>us-east-1</t>
        </is>
      </c>
      <c r="G18" s="24" t="n">
        <v>4</v>
      </c>
      <c r="H18" s="24" t="inlineStr">
        <is>
          <t>2026-09-16</t>
        </is>
      </c>
      <c r="I18" s="24" t="inlineStr">
        <is>
          <t>2026-09-18</t>
        </is>
      </c>
    </row>
    <row r="19" ht="20" customHeight="1">
      <c r="A19" s="25" t="inlineStr">
        <is>
          <t>Recon:EC2/Portscan</t>
        </is>
      </c>
      <c r="B19" s="25" t="inlineStr">
        <is>
          <t>EC2 instance i-05966c44f5be655cc is performing outbound port scans</t>
        </is>
      </c>
      <c r="C19" s="28" t="inlineStr">
        <is>
          <t>Medium</t>
        </is>
      </c>
      <c r="D19" s="25" t="n">
        <v>4.5</v>
      </c>
      <c r="E19" s="25" t="inlineStr">
        <is>
          <t>Instance</t>
        </is>
      </c>
      <c r="F19" s="25" t="inlineStr">
        <is>
          <t>us-east-1</t>
        </is>
      </c>
      <c r="G19" s="25" t="n">
        <v>15</v>
      </c>
      <c r="H19" s="25" t="inlineStr">
        <is>
          <t>2026-09-17</t>
        </is>
      </c>
      <c r="I19" s="25" t="inlineStr">
        <is>
          <t>2026-09-19</t>
        </is>
      </c>
    </row>
    <row r="20" ht="20" customHeight="1">
      <c r="A20" s="24" t="inlineStr">
        <is>
          <t>UnauthorizedAccess:IAMUser/ConsoleLoginSuccess.B</t>
        </is>
      </c>
      <c r="B20" s="24" t="inlineStr">
        <is>
          <t>Login to the console from an unusual geolocation</t>
        </is>
      </c>
      <c r="C20" s="15" t="inlineStr">
        <is>
          <t>Low</t>
        </is>
      </c>
      <c r="D20" s="24" t="n">
        <v>3</v>
      </c>
      <c r="E20" s="24" t="inlineStr">
        <is>
          <t>AccessKey</t>
        </is>
      </c>
      <c r="F20" s="24" t="inlineStr">
        <is>
          <t>us-east-1</t>
        </is>
      </c>
      <c r="G20" s="24" t="n">
        <v>2</v>
      </c>
      <c r="H20" s="24" t="inlineStr">
        <is>
          <t>2026-09-18</t>
        </is>
      </c>
      <c r="I20" s="24" t="inlineStr">
        <is>
          <t>2026-09-19</t>
        </is>
      </c>
    </row>
    <row r="21" ht="20" customHeight="1">
      <c r="A21" s="25" t="inlineStr">
        <is>
          <t>Recon:EC2/PortProbeEMRUnprotectedPort</t>
        </is>
      </c>
      <c r="B21" s="25" t="inlineStr">
        <is>
          <t>EC2 instance i-08b99bf46815a7d38 is querying a low-reputation domain</t>
        </is>
      </c>
      <c r="C21" s="15" t="inlineStr">
        <is>
          <t>Low</t>
        </is>
      </c>
      <c r="D21" s="25" t="n">
        <v>2</v>
      </c>
      <c r="E21" s="25" t="inlineStr">
        <is>
          <t>Instance</t>
        </is>
      </c>
      <c r="F21" s="25" t="inlineStr">
        <is>
          <t>us-east-1</t>
        </is>
      </c>
      <c r="G21" s="25" t="n">
        <v>9</v>
      </c>
      <c r="H21" s="25" t="inlineStr">
        <is>
          <t>2026-09-19</t>
        </is>
      </c>
      <c r="I21" s="25" t="inlineStr">
        <is>
          <t>2026-09-20</t>
        </is>
      </c>
    </row>
    <row r="23" ht="28" customHeight="1">
      <c r="A23" s="9" t="inlineStr">
        <is>
          <t>GuardDuty Console - Findings (Screenshot)</t>
        </is>
      </c>
    </row>
  </sheetData>
  <autoFilter ref="A13:I21"/>
  <mergeCells count="5">
    <mergeCell ref="A5:I5"/>
    <mergeCell ref="A1:I1"/>
    <mergeCell ref="A23:I23"/>
    <mergeCell ref="A3:I3"/>
    <mergeCell ref="A12:I1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002060"/>
    <outlinePr summaryBelow="1" summaryRight="1"/>
    <pageSetUpPr/>
  </sheetPr>
  <dimension ref="A1:C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6" customWidth="1" min="3" max="3"/>
  </cols>
  <sheetData>
    <row r="1" ht="40" customHeight="1">
      <c r="A1" s="8" t="inlineStr">
        <is>
          <t>S3 Storage Summary</t>
        </is>
      </c>
    </row>
    <row r="2"/>
    <row r="3" ht="28" customHeight="1">
      <c r="A3" s="9" t="inlineStr">
        <is>
          <t>Bucket Details</t>
        </is>
      </c>
    </row>
    <row r="4" ht="24" customHeight="1">
      <c r="A4" s="13" t="inlineStr">
        <is>
          <t>Bucket Name</t>
        </is>
      </c>
      <c r="B4" s="13" t="inlineStr">
        <is>
          <t>Total Bucket Size</t>
        </is>
      </c>
      <c r="C4" s="13" t="inlineStr">
        <is>
          <t>Total number of Objects</t>
        </is>
      </c>
    </row>
    <row r="5" ht="20" customHeight="1">
      <c r="A5" s="24" t="inlineStr">
        <is>
          <t>databricks-workspace-stack-5fd33-bucket</t>
        </is>
      </c>
      <c r="B5" s="24" t="inlineStr">
        <is>
          <t>6.19 MB</t>
        </is>
      </c>
      <c r="C5" s="24" t="inlineStr">
        <is>
          <t>79</t>
        </is>
      </c>
    </row>
    <row r="6" ht="20" customHeight="1">
      <c r="A6" s="25" t="inlineStr">
        <is>
          <t>databricks-workspace-stack-a07b6-bucket</t>
        </is>
      </c>
      <c r="B6" s="25" t="inlineStr">
        <is>
          <t>34.60 MB</t>
        </is>
      </c>
      <c r="C6" s="25" t="inlineStr">
        <is>
          <t>227</t>
        </is>
      </c>
    </row>
    <row r="7" ht="20" customHeight="1">
      <c r="A7" s="24" t="inlineStr">
        <is>
          <t>frontend-istari.insyncanalytics.com</t>
        </is>
      </c>
      <c r="B7" s="24" t="inlineStr">
        <is>
          <t>942.04 MB</t>
        </is>
      </c>
      <c r="C7" s="24" t="inlineStr">
        <is>
          <t>12.50K</t>
        </is>
      </c>
    </row>
    <row r="8" ht="20" customHeight="1">
      <c r="A8" s="25" t="inlineStr">
        <is>
          <t>indigo-insync-prebuilt</t>
        </is>
      </c>
      <c r="B8" s="25" t="inlineStr">
        <is>
          <t>196.49 GB</t>
        </is>
      </c>
      <c r="C8" s="25" t="inlineStr">
        <is>
          <t>506.20K</t>
        </is>
      </c>
    </row>
    <row r="9" ht="20" customHeight="1">
      <c r="A9" s="24" t="inlineStr">
        <is>
          <t>insync-prod-analytics-trail</t>
        </is>
      </c>
      <c r="B9" s="24" t="inlineStr">
        <is>
          <t>3.44 GB</t>
        </is>
      </c>
      <c r="C9" s="24" t="inlineStr">
        <is>
          <t>1.30M</t>
        </is>
      </c>
    </row>
    <row r="10" ht="20" customHeight="1">
      <c r="A10" s="25" t="inlineStr">
        <is>
          <t>insync5aws</t>
        </is>
      </c>
      <c r="B10" s="25" t="inlineStr">
        <is>
          <t>10.42 GB</t>
        </is>
      </c>
      <c r="C10" s="25" t="inlineStr">
        <is>
          <t>608</t>
        </is>
      </c>
    </row>
    <row r="11" ht="20" customHeight="1">
      <c r="A11" s="24" t="inlineStr">
        <is>
          <t>insyncdatabricks</t>
        </is>
      </c>
      <c r="B11" s="24" t="inlineStr">
        <is>
          <t>2.15 GB</t>
        </is>
      </c>
      <c r="C11" s="24" t="inlineStr">
        <is>
          <t>414</t>
        </is>
      </c>
    </row>
    <row r="12" ht="20" customHeight="1">
      <c r="A12" s="25" t="inlineStr">
        <is>
          <t>istari-file-syncing</t>
        </is>
      </c>
      <c r="B12" s="25" t="inlineStr">
        <is>
          <t>278.96 GB</t>
        </is>
      </c>
      <c r="C12" s="25" t="inlineStr">
        <is>
          <t>135.40K</t>
        </is>
      </c>
    </row>
    <row r="13" ht="20" customHeight="1">
      <c r="A13" s="24" t="inlineStr">
        <is>
          <t>istari-secure-folder</t>
        </is>
      </c>
      <c r="B13" s="24" t="inlineStr">
        <is>
          <t>244.92 GB</t>
        </is>
      </c>
      <c r="C13" s="24" t="inlineStr">
        <is>
          <t>134.00K</t>
        </is>
      </c>
    </row>
    <row r="14" ht="20" customHeight="1">
      <c r="A14" s="25" t="inlineStr">
        <is>
          <t>weave-access-logs-lb</t>
        </is>
      </c>
      <c r="B14" s="25" t="inlineStr">
        <is>
          <t>37.12 MB</t>
        </is>
      </c>
      <c r="C14" s="25" t="inlineStr">
        <is>
          <t>20.20K</t>
        </is>
      </c>
    </row>
    <row r="15" ht="20" customHeight="1">
      <c r="A15" s="24" t="inlineStr">
        <is>
          <t>insync4aws</t>
        </is>
      </c>
      <c r="B15" s="24" t="inlineStr">
        <is>
          <t>0.00 B</t>
        </is>
      </c>
      <c r="C15" s="24" t="inlineStr">
        <is>
          <t>0</t>
        </is>
      </c>
    </row>
    <row r="16" ht="20" customHeight="1">
      <c r="A16" s="25" t="inlineStr">
        <is>
          <t>insync6aws</t>
        </is>
      </c>
      <c r="B16" s="25" t="inlineStr">
        <is>
          <t>15.00 B</t>
        </is>
      </c>
      <c r="C16" s="25" t="inlineStr">
        <is>
          <t>1</t>
        </is>
      </c>
    </row>
    <row r="17" ht="20" customHeight="1">
      <c r="A17" s="24" t="inlineStr">
        <is>
          <t>istari-patching-logs</t>
        </is>
      </c>
      <c r="B17" s="24" t="inlineStr">
        <is>
          <t>0.00 B</t>
        </is>
      </c>
      <c r="C17" s="24" t="inlineStr">
        <is>
          <t>0</t>
        </is>
      </c>
    </row>
    <row r="18" ht="20" customHeight="1">
      <c r="A18" s="25" t="inlineStr">
        <is>
          <t>textractprogrammerbucket</t>
        </is>
      </c>
      <c r="B18" s="25" t="inlineStr">
        <is>
          <t>0.00 B</t>
        </is>
      </c>
      <c r="C18" s="25" t="inlineStr">
        <is>
          <t>0</t>
        </is>
      </c>
    </row>
    <row r="19"/>
    <row r="20" ht="20" customHeight="1">
      <c r="A20" s="27" t="inlineStr">
        <is>
          <t>TOTAL</t>
        </is>
      </c>
      <c r="B20" s="27" t="inlineStr">
        <is>
          <t>737.39 GB</t>
        </is>
      </c>
      <c r="C20" s="27" t="inlineStr">
        <is>
          <t>2.11M</t>
        </is>
      </c>
    </row>
  </sheetData>
  <autoFilter ref="A4:C20"/>
  <mergeCells count="2">
    <mergeCell ref="A1:C1"/>
    <mergeCell ref="A3:C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206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35" customWidth="1" min="4" max="4"/>
    <col width="20" customWidth="1" min="5" max="5"/>
    <col width="20" customWidth="1" min="6" max="6"/>
    <col width="25" customWidth="1" min="7" max="7"/>
    <col width="25" customWidth="1" min="8" max="8"/>
  </cols>
  <sheetData>
    <row r="1" ht="40" customHeight="1">
      <c r="A1" s="8" t="inlineStr">
        <is>
          <t>RDS Instance Details</t>
        </is>
      </c>
    </row>
    <row r="3" ht="24" customHeight="1">
      <c r="A3" s="13" t="inlineStr">
        <is>
          <t>RDS Name</t>
        </is>
      </c>
      <c r="B3" s="13" t="inlineStr">
        <is>
          <t>Down Time</t>
        </is>
      </c>
      <c r="C3" s="13" t="inlineStr">
        <is>
          <t>Instance type</t>
        </is>
      </c>
      <c r="D3" s="13" t="inlineStr">
        <is>
          <t>Minimum Utilization</t>
        </is>
      </c>
      <c r="E3" s="13" t="inlineStr">
        <is>
          <t>Maximum Utilization</t>
        </is>
      </c>
      <c r="F3" s="13" t="inlineStr">
        <is>
          <t>Average Utilization</t>
        </is>
      </c>
      <c r="G3" s="13" t="inlineStr">
        <is>
          <t>Free Memory</t>
        </is>
      </c>
      <c r="H3" s="13" t="inlineStr">
        <is>
          <t>Free Storage</t>
        </is>
      </c>
    </row>
    <row r="4" ht="20" customHeight="1">
      <c r="A4" s="24" t="inlineStr">
        <is>
          <t>-</t>
        </is>
      </c>
      <c r="B4" s="24" t="inlineStr">
        <is>
          <t>No</t>
        </is>
      </c>
      <c r="C4" s="24" t="inlineStr">
        <is>
          <t>-</t>
        </is>
      </c>
      <c r="D4" s="24" t="inlineStr">
        <is>
          <t>-</t>
        </is>
      </c>
      <c r="E4" s="24" t="inlineStr">
        <is>
          <t>-</t>
        </is>
      </c>
      <c r="F4" s="24" t="inlineStr">
        <is>
          <t>-</t>
        </is>
      </c>
      <c r="G4" s="24" t="inlineStr">
        <is>
          <t>-</t>
        </is>
      </c>
      <c r="H4" s="24" t="inlineStr">
        <is>
          <t>-</t>
        </is>
      </c>
    </row>
    <row r="5" ht="20" customHeight="1">
      <c r="A5" s="25" t="inlineStr">
        <is>
          <t>-</t>
        </is>
      </c>
      <c r="B5" s="25" t="inlineStr">
        <is>
          <t>No</t>
        </is>
      </c>
      <c r="C5" s="25" t="inlineStr">
        <is>
          <t>-</t>
        </is>
      </c>
      <c r="D5" s="25" t="inlineStr">
        <is>
          <t>-</t>
        </is>
      </c>
      <c r="E5" s="25" t="inlineStr">
        <is>
          <t>-</t>
        </is>
      </c>
      <c r="F5" s="25" t="inlineStr">
        <is>
          <t>-</t>
        </is>
      </c>
      <c r="G5" s="25" t="inlineStr">
        <is>
          <t>-</t>
        </is>
      </c>
      <c r="H5" s="25" t="inlineStr">
        <is>
          <t>-</t>
        </is>
      </c>
    </row>
    <row r="6" ht="20" customHeight="1">
      <c r="A6" s="24" t="inlineStr">
        <is>
          <t>-</t>
        </is>
      </c>
      <c r="B6" s="24" t="inlineStr">
        <is>
          <t>No</t>
        </is>
      </c>
      <c r="C6" s="24" t="inlineStr">
        <is>
          <t>-</t>
        </is>
      </c>
      <c r="D6" s="24" t="inlineStr">
        <is>
          <t>-</t>
        </is>
      </c>
      <c r="E6" s="24" t="inlineStr">
        <is>
          <t>-</t>
        </is>
      </c>
      <c r="F6" s="24" t="inlineStr">
        <is>
          <t>-</t>
        </is>
      </c>
      <c r="G6" s="24" t="inlineStr">
        <is>
          <t>-</t>
        </is>
      </c>
      <c r="H6" s="24" t="inlineStr">
        <is>
          <t>-</t>
        </is>
      </c>
    </row>
    <row r="7" ht="20" customHeight="1">
      <c r="A7" s="25" t="inlineStr">
        <is>
          <t>-</t>
        </is>
      </c>
      <c r="B7" s="25" t="inlineStr">
        <is>
          <t>No</t>
        </is>
      </c>
      <c r="C7" s="25" t="inlineStr">
        <is>
          <t>-</t>
        </is>
      </c>
      <c r="D7" s="25" t="inlineStr">
        <is>
          <t>-</t>
        </is>
      </c>
      <c r="E7" s="25" t="inlineStr">
        <is>
          <t>-</t>
        </is>
      </c>
      <c r="F7" s="25" t="inlineStr">
        <is>
          <t>-</t>
        </is>
      </c>
      <c r="G7" s="25" t="inlineStr">
        <is>
          <t>-</t>
        </is>
      </c>
      <c r="H7" s="25" t="inlineStr">
        <is>
          <t>-</t>
        </is>
      </c>
    </row>
    <row r="8" ht="20" customHeight="1">
      <c r="A8" s="24" t="inlineStr">
        <is>
          <t>-</t>
        </is>
      </c>
      <c r="B8" s="24" t="inlineStr">
        <is>
          <t>No</t>
        </is>
      </c>
      <c r="C8" s="24" t="inlineStr">
        <is>
          <t>-</t>
        </is>
      </c>
      <c r="D8" s="24" t="inlineStr">
        <is>
          <t>-</t>
        </is>
      </c>
      <c r="E8" s="24" t="inlineStr">
        <is>
          <t>-</t>
        </is>
      </c>
      <c r="F8" s="24" t="inlineStr">
        <is>
          <t>-</t>
        </is>
      </c>
      <c r="G8" s="24" t="inlineStr">
        <is>
          <t>-</t>
        </is>
      </c>
      <c r="H8" s="24" t="inlineStr">
        <is>
          <t>-</t>
        </is>
      </c>
    </row>
    <row r="9" ht="20" customHeight="1">
      <c r="A9" s="25" t="inlineStr">
        <is>
          <t>-</t>
        </is>
      </c>
      <c r="B9" s="25" t="inlineStr">
        <is>
          <t>No</t>
        </is>
      </c>
      <c r="C9" s="25" t="inlineStr">
        <is>
          <t>-</t>
        </is>
      </c>
      <c r="D9" s="25" t="inlineStr">
        <is>
          <t>-</t>
        </is>
      </c>
      <c r="E9" s="25" t="inlineStr">
        <is>
          <t>-</t>
        </is>
      </c>
      <c r="F9" s="25" t="inlineStr">
        <is>
          <t>-</t>
        </is>
      </c>
      <c r="G9" s="25" t="inlineStr">
        <is>
          <t>-</t>
        </is>
      </c>
      <c r="H9" s="25" t="inlineStr">
        <is>
          <t>-</t>
        </is>
      </c>
    </row>
    <row r="13">
      <c r="A13" s="30" t="inlineStr">
        <is>
          <t>Bandwidth and Network status</t>
        </is>
      </c>
    </row>
    <row r="15" ht="24" customHeight="1">
      <c r="A15" s="13" t="inlineStr">
        <is>
          <t>RDS Name</t>
        </is>
      </c>
      <c r="B15" s="13" t="inlineStr">
        <is>
          <t>Network Transmit Throughput (Bytes per second)</t>
        </is>
      </c>
      <c r="C15" s="13" t="inlineStr">
        <is>
          <t>Network Receive Throughput (Bytes per second)</t>
        </is>
      </c>
      <c r="D15" s="13" t="inlineStr">
        <is>
          <t>Max Database Connection (Count)</t>
        </is>
      </c>
    </row>
    <row r="16" ht="20" customHeight="1">
      <c r="A16" s="24" t="inlineStr">
        <is>
          <t>-</t>
        </is>
      </c>
      <c r="B16" s="24" t="inlineStr">
        <is>
          <t>-</t>
        </is>
      </c>
      <c r="C16" s="24" t="inlineStr">
        <is>
          <t>-</t>
        </is>
      </c>
      <c r="D16" s="24" t="inlineStr">
        <is>
          <t>-</t>
        </is>
      </c>
    </row>
    <row r="17" ht="20" customHeight="1">
      <c r="A17" s="25" t="inlineStr">
        <is>
          <t>-</t>
        </is>
      </c>
      <c r="B17" s="25" t="inlineStr">
        <is>
          <t>-</t>
        </is>
      </c>
      <c r="C17" s="25" t="inlineStr">
        <is>
          <t>-</t>
        </is>
      </c>
      <c r="D17" s="25" t="inlineStr">
        <is>
          <t>-</t>
        </is>
      </c>
    </row>
    <row r="18" ht="20" customHeight="1">
      <c r="A18" s="24" t="inlineStr">
        <is>
          <t>-</t>
        </is>
      </c>
      <c r="B18" s="24" t="inlineStr">
        <is>
          <t>-</t>
        </is>
      </c>
      <c r="C18" s="24" t="inlineStr">
        <is>
          <t>-</t>
        </is>
      </c>
      <c r="D18" s="24" t="inlineStr">
        <is>
          <t>-</t>
        </is>
      </c>
    </row>
    <row r="19" ht="20" customHeight="1">
      <c r="A19" s="25" t="inlineStr">
        <is>
          <t>-</t>
        </is>
      </c>
      <c r="B19" s="25" t="inlineStr">
        <is>
          <t>-</t>
        </is>
      </c>
      <c r="C19" s="25" t="inlineStr">
        <is>
          <t>-</t>
        </is>
      </c>
      <c r="D19" s="25" t="inlineStr">
        <is>
          <t>-</t>
        </is>
      </c>
    </row>
    <row r="20" ht="20" customHeight="1">
      <c r="A20" s="24" t="inlineStr">
        <is>
          <t>-</t>
        </is>
      </c>
      <c r="B20" s="24" t="inlineStr">
        <is>
          <t>-</t>
        </is>
      </c>
      <c r="C20" s="24" t="inlineStr">
        <is>
          <t>-</t>
        </is>
      </c>
      <c r="D20" s="24" t="inlineStr">
        <is>
          <t>-</t>
        </is>
      </c>
    </row>
    <row r="21" ht="20" customHeight="1">
      <c r="A21" s="25" t="inlineStr">
        <is>
          <t>-</t>
        </is>
      </c>
      <c r="B21" s="25" t="inlineStr">
        <is>
          <t>-</t>
        </is>
      </c>
      <c r="C21" s="25" t="inlineStr">
        <is>
          <t>-</t>
        </is>
      </c>
      <c r="D21" s="25" t="inlineStr">
        <is>
          <t>-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2060"/>
    <outlinePr summaryBelow="1" summaryRight="1"/>
    <pageSetUpPr/>
  </sheetPr>
  <dimension ref="A1:P149"/>
  <sheetViews>
    <sheetView showGridLines="0" workbookViewId="0">
      <selection activeCell="A1" sqref="A1"/>
    </sheetView>
  </sheetViews>
  <sheetFormatPr baseColWidth="8" defaultRowHeight="15"/>
  <sheetData>
    <row r="1" ht="40" customHeight="1">
      <c r="A1" s="8" t="inlineStr">
        <is>
          <t>Dashboard – Visual Analytics</t>
        </is>
      </c>
    </row>
    <row r="83" ht="28" customHeight="1">
      <c r="A83" s="9" t="inlineStr">
        <is>
          <t>Security Findings (Inspector + GuardDuty)</t>
        </is>
      </c>
    </row>
    <row r="84" ht="24" customHeight="1">
      <c r="A84" s="31" t="inlineStr">
        <is>
          <t>Amazon Inspector: 464 findings (Critical 39, High 200)   |   Amazon GuardDuty: 66 findings (High 0). See the Inspector and GuardDuty sheets for detail.</t>
        </is>
      </c>
    </row>
    <row r="85">
      <c r="A85" t="inlineStr">
        <is>
          <t>Date</t>
        </is>
      </c>
      <c r="B85" t="inlineStr">
        <is>
          <t>Daily Cost ($)</t>
        </is>
      </c>
    </row>
    <row r="86">
      <c r="A86" t="inlineStr">
        <is>
          <t>2026-09-14</t>
        </is>
      </c>
      <c r="B86" t="n">
        <v>97.65000000000001</v>
      </c>
    </row>
    <row r="87">
      <c r="A87" t="inlineStr">
        <is>
          <t>2026-09-15</t>
        </is>
      </c>
      <c r="B87" t="n">
        <v>103.15</v>
      </c>
    </row>
    <row r="88">
      <c r="A88" t="inlineStr">
        <is>
          <t>2026-09-16</t>
        </is>
      </c>
      <c r="B88" t="n">
        <v>98.95</v>
      </c>
    </row>
    <row r="89">
      <c r="A89" t="inlineStr">
        <is>
          <t>2026-09-17</t>
        </is>
      </c>
      <c r="B89" t="n">
        <v>104.75</v>
      </c>
    </row>
    <row r="90">
      <c r="A90" t="inlineStr">
        <is>
          <t>2026-09-18</t>
        </is>
      </c>
      <c r="B90" t="n">
        <v>98.55</v>
      </c>
    </row>
    <row r="91">
      <c r="A91" t="inlineStr">
        <is>
          <t>2026-09-19</t>
        </is>
      </c>
      <c r="B91" t="n">
        <v>102.25</v>
      </c>
    </row>
    <row r="92">
      <c r="A92" t="inlineStr">
        <is>
          <t>2026-09-20</t>
        </is>
      </c>
      <c r="B92" t="n">
        <v>99.95</v>
      </c>
    </row>
    <row r="94">
      <c r="A94" t="inlineStr">
        <is>
          <t>Service</t>
        </is>
      </c>
      <c r="B94" t="inlineStr">
        <is>
          <t>Cost ($)</t>
        </is>
      </c>
    </row>
    <row r="95">
      <c r="A95" t="inlineStr">
        <is>
          <t>Fortinet FortiGate VM Next-Generation Firewall</t>
        </is>
      </c>
      <c r="B95" t="n">
        <v>171.36</v>
      </c>
    </row>
    <row r="96">
      <c r="A96" t="inlineStr">
        <is>
          <t>Elastic Load Balancing</t>
        </is>
      </c>
      <c r="B96" t="n">
        <v>106.97</v>
      </c>
    </row>
    <row r="97">
      <c r="A97" t="inlineStr">
        <is>
          <t>EC2-Other</t>
        </is>
      </c>
      <c r="B97" t="n">
        <v>86.43000000000001</v>
      </c>
    </row>
    <row r="98">
      <c r="A98" t="inlineStr">
        <is>
          <t>Savings Plans for Compute Usage</t>
        </is>
      </c>
      <c r="B98" t="n">
        <v>84</v>
      </c>
    </row>
    <row r="99">
      <c r="A99" t="inlineStr">
        <is>
          <t>CloudWatch</t>
        </is>
      </c>
      <c r="B99" t="n">
        <v>77.64</v>
      </c>
    </row>
    <row r="100">
      <c r="A100" t="inlineStr">
        <is>
          <t>Relational Database Service</t>
        </is>
      </c>
      <c r="B100" t="n">
        <v>73.68000000000001</v>
      </c>
    </row>
    <row r="101">
      <c r="A101" t="inlineStr">
        <is>
          <t>Config</t>
        </is>
      </c>
      <c r="B101" t="n">
        <v>28.11</v>
      </c>
    </row>
    <row r="102">
      <c r="A102" t="inlineStr">
        <is>
          <t>VPC</t>
        </is>
      </c>
      <c r="B102" t="n">
        <v>21.93</v>
      </c>
    </row>
    <row r="104">
      <c r="A104" t="inlineStr">
        <is>
          <t>Instance</t>
        </is>
      </c>
      <c r="B104" t="inlineStr">
        <is>
          <t>Avg CPU (%)</t>
        </is>
      </c>
    </row>
    <row r="105">
      <c r="A105" t="inlineStr">
        <is>
          <t>Fortinet-FW</t>
        </is>
      </c>
      <c r="B105" t="n">
        <v>0.83</v>
      </c>
    </row>
    <row r="106">
      <c r="A106" t="inlineStr">
        <is>
          <t>FLY91- Staging Website</t>
        </is>
      </c>
      <c r="B106" t="n">
        <v>9.19</v>
      </c>
    </row>
    <row r="107">
      <c r="A107" t="inlineStr">
        <is>
          <t>FLY91- Production Website</t>
        </is>
      </c>
      <c r="B107" t="n">
        <v>8.869999999999999</v>
      </c>
    </row>
    <row r="108">
      <c r="A108" t="inlineStr">
        <is>
          <t>Fly91-SFTP</t>
        </is>
      </c>
      <c r="B108" t="n">
        <v>3.89</v>
      </c>
    </row>
    <row r="109">
      <c r="A109" t="inlineStr">
        <is>
          <t>Fly91-Desk</t>
        </is>
      </c>
      <c r="B109" t="n">
        <v>1.8</v>
      </c>
    </row>
    <row r="110">
      <c r="A110" t="inlineStr">
        <is>
          <t>Fly91-Development-Server-Windows</t>
        </is>
      </c>
      <c r="B110" t="n">
        <v>14.3</v>
      </c>
    </row>
    <row r="111">
      <c r="A111" t="inlineStr">
        <is>
          <t>Fly91-Development-Server-Ubuntu</t>
        </is>
      </c>
      <c r="B111" t="n">
        <v>5.77</v>
      </c>
    </row>
    <row r="112">
      <c r="A112" t="inlineStr">
        <is>
          <t>FLY91 - Data Science Production</t>
        </is>
      </c>
      <c r="B112" t="n">
        <v>5.15</v>
      </c>
    </row>
    <row r="114">
      <c r="A114" t="inlineStr">
        <is>
          <t>Instance</t>
        </is>
      </c>
      <c r="B114" t="inlineStr">
        <is>
          <t>Disk Usage (%)</t>
        </is>
      </c>
    </row>
    <row r="115">
      <c r="A115" t="inlineStr">
        <is>
          <t>FLY91- Staging Website</t>
        </is>
      </c>
      <c r="B115" t="n">
        <v>91.59999999999999</v>
      </c>
    </row>
    <row r="116">
      <c r="A116" t="inlineStr">
        <is>
          <t>FLY91- Production Website</t>
        </is>
      </c>
      <c r="B116" t="n">
        <v>49</v>
      </c>
    </row>
    <row r="117">
      <c r="A117" t="inlineStr">
        <is>
          <t>Fly91-SFTP</t>
        </is>
      </c>
      <c r="B117" t="n">
        <v>76.3</v>
      </c>
    </row>
    <row r="118">
      <c r="A118" t="inlineStr">
        <is>
          <t>Fly91-Desk</t>
        </is>
      </c>
      <c r="B118" t="n">
        <v>21.8</v>
      </c>
    </row>
    <row r="119">
      <c r="A119" t="inlineStr">
        <is>
          <t>Fly91-Development-Server-Windows</t>
        </is>
      </c>
      <c r="B119" t="n">
        <v>51.3</v>
      </c>
    </row>
    <row r="120">
      <c r="A120" t="inlineStr">
        <is>
          <t>Fly91-Development-Server-Ubuntu</t>
        </is>
      </c>
      <c r="B120" t="n">
        <v>87.7</v>
      </c>
    </row>
    <row r="121">
      <c r="A121" t="inlineStr">
        <is>
          <t>FLY91 - Data Science Production</t>
        </is>
      </c>
      <c r="B121" t="n">
        <v>14.2</v>
      </c>
    </row>
    <row r="123">
      <c r="A123" t="inlineStr">
        <is>
          <t>Instance</t>
        </is>
      </c>
      <c r="B123" t="inlineStr">
        <is>
          <t>Network In (MB)</t>
        </is>
      </c>
      <c r="C123" t="inlineStr">
        <is>
          <t>Network Out (MB)</t>
        </is>
      </c>
    </row>
    <row r="124">
      <c r="A124" t="inlineStr">
        <is>
          <t>Fortinet-FW</t>
        </is>
      </c>
      <c r="B124" t="n">
        <v>1228.8</v>
      </c>
      <c r="C124" t="n">
        <v>1290.24</v>
      </c>
    </row>
    <row r="125">
      <c r="A125" t="inlineStr">
        <is>
          <t>FLY91- Staging Website</t>
        </is>
      </c>
      <c r="B125" t="n">
        <v>1341.44</v>
      </c>
      <c r="C125" t="n">
        <v>1597.44</v>
      </c>
    </row>
    <row r="126">
      <c r="A126" t="inlineStr">
        <is>
          <t>FLY91- Production Website</t>
        </is>
      </c>
      <c r="B126" t="n">
        <v>634.38</v>
      </c>
      <c r="C126" t="n">
        <v>855.01</v>
      </c>
    </row>
    <row r="127">
      <c r="A127" t="inlineStr">
        <is>
          <t>Fly91-SFTP</t>
        </is>
      </c>
      <c r="B127" t="n">
        <v>88.54000000000001</v>
      </c>
      <c r="C127" t="n">
        <v>14.32</v>
      </c>
    </row>
    <row r="128">
      <c r="A128" t="inlineStr">
        <is>
          <t>Fly91-Desk</t>
        </is>
      </c>
      <c r="B128" t="n">
        <v>88.29000000000001</v>
      </c>
      <c r="C128" t="n">
        <v>0.41</v>
      </c>
    </row>
    <row r="129">
      <c r="A129" t="inlineStr">
        <is>
          <t>Fly91-Development-Server-Windows</t>
        </is>
      </c>
      <c r="B129" t="n">
        <v>63.74</v>
      </c>
      <c r="C129" t="n">
        <v>10.83</v>
      </c>
    </row>
    <row r="130">
      <c r="A130" t="inlineStr">
        <is>
          <t>Fly91-Development-Server-Ubuntu</t>
        </is>
      </c>
      <c r="B130" t="n">
        <v>186.64</v>
      </c>
      <c r="C130" t="n">
        <v>141.11</v>
      </c>
    </row>
    <row r="131">
      <c r="A131" t="inlineStr">
        <is>
          <t>FLY91 - Data Science Production</t>
        </is>
      </c>
      <c r="B131" t="n">
        <v>109.23</v>
      </c>
      <c r="C131" t="n">
        <v>48.32</v>
      </c>
    </row>
    <row r="133">
      <c r="A133" t="inlineStr">
        <is>
          <t>Bucket</t>
        </is>
      </c>
      <c r="B133" t="inlineStr">
        <is>
          <t>Size (GB)</t>
        </is>
      </c>
    </row>
    <row r="134">
      <c r="A134" t="inlineStr">
        <is>
          <t>?</t>
        </is>
      </c>
      <c r="B134" t="n">
        <v>0.01</v>
      </c>
    </row>
    <row r="135">
      <c r="A135" t="inlineStr">
        <is>
          <t>?</t>
        </is>
      </c>
      <c r="B135" t="n">
        <v>0.03</v>
      </c>
    </row>
    <row r="136">
      <c r="A136" t="inlineStr">
        <is>
          <t>?</t>
        </is>
      </c>
      <c r="B136" t="n">
        <v>0.88</v>
      </c>
    </row>
    <row r="137">
      <c r="A137" t="inlineStr">
        <is>
          <t>?</t>
        </is>
      </c>
      <c r="B137" t="n">
        <v>183</v>
      </c>
    </row>
    <row r="138">
      <c r="A138" t="inlineStr">
        <is>
          <t>?</t>
        </is>
      </c>
      <c r="B138" t="n">
        <v>3.2</v>
      </c>
    </row>
    <row r="139">
      <c r="A139" t="inlineStr">
        <is>
          <t>?</t>
        </is>
      </c>
      <c r="B139" t="n">
        <v>9.699999999999999</v>
      </c>
    </row>
    <row r="140">
      <c r="A140" t="inlineStr">
        <is>
          <t>?</t>
        </is>
      </c>
      <c r="B140" t="n">
        <v>2</v>
      </c>
    </row>
    <row r="141">
      <c r="A141" t="inlineStr">
        <is>
          <t>?</t>
        </is>
      </c>
      <c r="B141" t="n">
        <v>259.8</v>
      </c>
    </row>
    <row r="142">
      <c r="A142" t="inlineStr">
        <is>
          <t>?</t>
        </is>
      </c>
      <c r="B142" t="n">
        <v>228.1</v>
      </c>
    </row>
    <row r="143">
      <c r="A143" t="inlineStr">
        <is>
          <t>?</t>
        </is>
      </c>
      <c r="B143" t="n">
        <v>0.03</v>
      </c>
    </row>
    <row r="144">
      <c r="A144" t="inlineStr">
        <is>
          <t>?</t>
        </is>
      </c>
      <c r="B144" t="n">
        <v>0</v>
      </c>
    </row>
    <row r="146">
      <c r="A146" t="inlineStr">
        <is>
          <t>ALB Name</t>
        </is>
      </c>
      <c r="B146" t="inlineStr">
        <is>
          <t>Requests</t>
        </is>
      </c>
    </row>
    <row r="147">
      <c r="A147" t="inlineStr">
        <is>
          <t>Stage-Fly91-ALB</t>
        </is>
      </c>
      <c r="B147" t="n">
        <v>1120</v>
      </c>
    </row>
    <row r="148">
      <c r="A148" t="inlineStr">
        <is>
          <t>Prod-Fly91-ALB</t>
        </is>
      </c>
      <c r="B148" t="n">
        <v>25000</v>
      </c>
    </row>
    <row r="149">
      <c r="A149" t="inlineStr">
        <is>
          <t>Fly91-Development-ALB</t>
        </is>
      </c>
      <c r="B149" t="n">
        <v>2340</v>
      </c>
    </row>
  </sheetData>
  <mergeCells count="3">
    <mergeCell ref="A83:P83"/>
    <mergeCell ref="A1:P1"/>
    <mergeCell ref="A84:P8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 Operations Team</dc:creator>
  <dc:title xmlns:dc="http://purl.org/dc/elements/1.1/">AWS Weekly BAU Report</dc:title>
  <dc:description xmlns:dc="http://purl.org/dc/elements/1.1/">Weekly BAU Report for 2026-09-14 to 2026-09-20</dc:description>
  <dcterms:created xmlns:dcterms="http://purl.org/dc/terms/" xmlns:xsi="http://www.w3.org/2001/XMLSchema-instance" xsi:type="dcterms:W3CDTF">2026-10-05T00:16:21Z</dcterms:created>
  <dcterms:modified xmlns:dcterms="http://purl.org/dc/terms/" xmlns:xsi="http://www.w3.org/2001/XMLSchema-instance" xsi:type="dcterms:W3CDTF">2026-10-05T00:16:22Z</dcterms:modified>
</cp:coreProperties>
</file>